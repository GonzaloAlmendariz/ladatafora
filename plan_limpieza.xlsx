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" sheetId="1" state="visible" r:id="rId1"/>
    <sheet name="Resumen" sheetId="2" state="visible" r:id="rId2"/>
    <sheet name="Secciones" sheetId="3" state="visible" r:id="rId3"/>
    <sheet name="Diccionario" sheetId="4" state="visible" r:id="rId4"/>
    <sheet name="Choices" sheetId="5" state="visible" r:id="rId5"/>
    <sheet name="README" sheetId="6" state="visible" r:id="rId6"/>
    <sheet name="Leyenda" sheetId="7" state="visible" r:id="rId7"/>
  </sheets>
  <definedNames>
    <definedName name="_xlnm._FilterDatabase" localSheetId="4" hidden="1">'Choices'!$A$1:$C$124</definedName>
  </definedNames>
</workbook>
</file>

<file path=xl/sharedStrings.xml><?xml version="1.0" encoding="utf-8"?>
<sst xmlns="http://schemas.openxmlformats.org/spreadsheetml/2006/main" count="1154" uniqueCount="1154">
  <si>
    <t xml:space="preserve">ID</t>
  </si>
  <si>
    <t xml:space="preserve">Tabla</t>
  </si>
  <si>
    <t xml:space="preserve">Sección</t>
  </si>
  <si>
    <t xml:space="preserve">Categoría</t>
  </si>
  <si>
    <t xml:space="preserve">Tipo</t>
  </si>
  <si>
    <t xml:space="preserve">Nombre de regla</t>
  </si>
  <si>
    <t xml:space="preserve">Objetivo</t>
  </si>
  <si>
    <t xml:space="preserve">Variable 1</t>
  </si>
  <si>
    <t xml:space="preserve">Variable 1 - Etiqueta</t>
  </si>
  <si>
    <t xml:space="preserve">Variable 2</t>
  </si>
  <si>
    <t xml:space="preserve">Variable 2 - Etiqueta</t>
  </si>
  <si>
    <t xml:space="preserve">Variable 3</t>
  </si>
  <si>
    <t xml:space="preserve">Variable 3 - Etiqueta</t>
  </si>
  <si>
    <t xml:space="preserve">Procesamiento</t>
  </si>
  <si>
    <t xml:space="preserve">Hoja base</t>
  </si>
  <si>
    <t xml:space="preserve">Hoja Var1</t>
  </si>
  <si>
    <t xml:space="preserve">Hoja Var2</t>
  </si>
  <si>
    <t xml:space="preserve">Hoja Var3</t>
  </si>
  <si>
    <t xml:space="preserve">Agreg Var2</t>
  </si>
  <si>
    <t xml:space="preserve">Agreg Var3</t>
  </si>
  <si>
    <t xml:space="preserve">INTR_001</t>
  </si>
  <si>
    <t xml:space="preserve">(principal)</t>
  </si>
  <si>
    <t xml:space="preserve">intro</t>
  </si>
  <si>
    <t xml:space="preserve">Preguntas de control</t>
  </si>
  <si>
    <t xml:space="preserve">select_one</t>
  </si>
  <si>
    <t xml:space="preserve">req_consent_req</t>
  </si>
  <si>
    <t xml:space="preserve">«¿Acepta participar en la encuesta?» debe responderse.</t>
  </si>
  <si>
    <t xml:space="preserve">consent</t>
  </si>
  <si>
    <t xml:space="preserve">¿Acepta participar en la encuesta?</t>
  </si>
  <si>
    <t xml:space="preserve">req_consent_req &lt;- (is.na(consent) | trimws(consent) == "")</t>
  </si>
  <si>
    <t xml:space="preserve">INTR_002</t>
  </si>
  <si>
    <t xml:space="preserve">Saltos de preguntas</t>
  </si>
  <si>
    <t xml:space="preserve">date</t>
  </si>
  <si>
    <t xml:space="preserve">salto_interview_date_debe</t>
  </si>
  <si>
    <t xml:space="preserve">Si («consent»='yes'), «Fecha de entrevista» debe responderse.</t>
  </si>
  <si>
    <t xml:space="preserve">interview_date</t>
  </si>
  <si>
    <t xml:space="preserve">Fecha de entrevista</t>
  </si>
  <si>
    <t xml:space="preserve">salto_interview_date_debe &lt;- ( (consent=='yes') &amp; (is.na(interview_date) | trimws(interview_date) == "") )</t>
  </si>
  <si>
    <t xml:space="preserve">INTR_003</t>
  </si>
  <si>
    <t xml:space="preserve">salto_interview_date_nodebe</t>
  </si>
  <si>
    <t xml:space="preserve">Si («consent»='yes'), «Fecha de entrevista» no debe responderse.</t>
  </si>
  <si>
    <t xml:space="preserve">salto_interview_date_nodebe &lt;- ( !(consent=='yes') &amp; (!is.na(interview_date) &amp; trimws(interview_date) != "") )</t>
  </si>
  <si>
    <t xml:space="preserve">INTR_004</t>
  </si>
  <si>
    <t xml:space="preserve">salto_interview_mode_debe</t>
  </si>
  <si>
    <t xml:space="preserve">Si («consent»='yes'), «Modo de entrevista» debe responderse.</t>
  </si>
  <si>
    <t xml:space="preserve">interview_mode</t>
  </si>
  <si>
    <t xml:space="preserve">Modo de entrevista</t>
  </si>
  <si>
    <t xml:space="preserve">salto_interview_mode_debe &lt;- ( (consent=='yes') &amp; (is.na(interview_mode) | trimws(interview_mode) == "") )</t>
  </si>
  <si>
    <t xml:space="preserve">INTR_005</t>
  </si>
  <si>
    <t xml:space="preserve">salto_interview_mode_nodebe</t>
  </si>
  <si>
    <t xml:space="preserve">Si («consent»='yes'), «Modo de entrevista» no debe responderse.</t>
  </si>
  <si>
    <t xml:space="preserve">salto_interview_mode_nodebe &lt;- ( !(consent=='yes') &amp; (!is.na(interview_mode) &amp; trimws(interview_mode) != "") )</t>
  </si>
  <si>
    <t xml:space="preserve">INTR_006</t>
  </si>
  <si>
    <t xml:space="preserve">text</t>
  </si>
  <si>
    <t xml:space="preserve">salto_respondent_name_debe</t>
  </si>
  <si>
    <t xml:space="preserve">Si («consent»='yes'), «Nombre del/la encuestado/a» debe responderse.</t>
  </si>
  <si>
    <t xml:space="preserve">respondent_name</t>
  </si>
  <si>
    <t xml:space="preserve">Nombre del/la encuestado/a</t>
  </si>
  <si>
    <t xml:space="preserve">salto_respondent_name_debe &lt;- ( (consent=='yes') &amp; (is.na(respondent_name) | trimws(respondent_name) == "") )</t>
  </si>
  <si>
    <t xml:space="preserve">INTR_007</t>
  </si>
  <si>
    <t xml:space="preserve">salto_respondent_name_nodebe</t>
  </si>
  <si>
    <t xml:space="preserve">Si («consent»='yes'), «Nombre del/la encuestado/a» no debe responderse.</t>
  </si>
  <si>
    <t xml:space="preserve">salto_respondent_name_nodebe &lt;- ( !(consent=='yes') &amp; (!is.na(respondent_name) &amp; trimws(respondent_name) != "") )</t>
  </si>
  <si>
    <t xml:space="preserve">UBIC_001</t>
  </si>
  <si>
    <t xml:space="preserve">ubicacion</t>
  </si>
  <si>
    <t xml:space="preserve">req_country_req</t>
  </si>
  <si>
    <t xml:space="preserve">Si la sección «Ubicación administrativa» se abre («consent»='yes'), «País» debe responderse.</t>
  </si>
  <si>
    <t xml:space="preserve">country</t>
  </si>
  <si>
    <t xml:space="preserve">País</t>
  </si>
  <si>
    <t xml:space="preserve">req_country_req &lt;- ( ((consent=='yes') &amp; (consent=='yes')) &amp; (is.na(country) | trimws(country) == "") )</t>
  </si>
  <si>
    <t xml:space="preserve">UBIC_002</t>
  </si>
  <si>
    <t xml:space="preserve">req_district_req</t>
  </si>
  <si>
    <t xml:space="preserve">Si la sección «Ubicación administrativa» se abre («consent»='yes'), «Distrito» debe responderse.</t>
  </si>
  <si>
    <t xml:space="preserve">district</t>
  </si>
  <si>
    <t xml:space="preserve">Distrito</t>
  </si>
  <si>
    <t xml:space="preserve">req_district_req &lt;- ( ((consent=='yes') &amp; (consent=='yes')) &amp; (is.na(district) | trimws(district) == "") )</t>
  </si>
  <si>
    <t xml:space="preserve">UBIC_003</t>
  </si>
  <si>
    <t xml:space="preserve">req_province_req</t>
  </si>
  <si>
    <t xml:space="preserve">Si la sección «Ubicación administrativa» se abre («consent»='yes'), «Provincia» debe responderse.</t>
  </si>
  <si>
    <t xml:space="preserve">province</t>
  </si>
  <si>
    <t xml:space="preserve">Provincia</t>
  </si>
  <si>
    <t xml:space="preserve">req_province_req &lt;- ( ((consent=='yes') &amp; (consent=='yes')) &amp; (is.na(province) | trimws(province) == "") )</t>
  </si>
  <si>
    <t xml:space="preserve">UBIC_004</t>
  </si>
  <si>
    <t xml:space="preserve">req_region_req</t>
  </si>
  <si>
    <t xml:space="preserve">Si la sección «Ubicación administrativa» se abre («consent»='yes'), «Región/Departamento» debe responderse.</t>
  </si>
  <si>
    <t xml:space="preserve">region</t>
  </si>
  <si>
    <t xml:space="preserve">Región/Departamento</t>
  </si>
  <si>
    <t xml:space="preserve">req_region_req &lt;- ( ((consent=='yes') &amp; (consent=='yes')) &amp; (is.na(region) | trimws(region) == "") )</t>
  </si>
  <si>
    <t xml:space="preserve">UBIC_005</t>
  </si>
  <si>
    <t xml:space="preserve">salto_country_debe</t>
  </si>
  <si>
    <t xml:space="preserve">salto_country_debe &lt;- ( ((consent=='yes') &amp; (consent=='yes')) &amp; (is.na(country) | trimws(country) == "") )</t>
  </si>
  <si>
    <t xml:space="preserve">UBIC_006</t>
  </si>
  <si>
    <t xml:space="preserve">salto_country_nodebe</t>
  </si>
  <si>
    <t xml:space="preserve">Si la sección «Ubicación administrativa» se abre («consent»='yes'), «País» no debe responderse.</t>
  </si>
  <si>
    <t xml:space="preserve">salto_country_nodebe &lt;- ( !((consent=='yes') &amp; (consent=='yes')) &amp; (!is.na(country) &amp; trimws(country) != "") )</t>
  </si>
  <si>
    <t xml:space="preserve">UBIC_007</t>
  </si>
  <si>
    <t xml:space="preserve">salto_district_debe</t>
  </si>
  <si>
    <t xml:space="preserve">salto_district_debe &lt;- ( ((consent=='yes') &amp; (consent=='yes')) &amp; (is.na(district) | trimws(district) == "") )</t>
  </si>
  <si>
    <t xml:space="preserve">UBIC_008</t>
  </si>
  <si>
    <t xml:space="preserve">salto_district_nodebe</t>
  </si>
  <si>
    <t xml:space="preserve">Si la sección «Ubicación administrativa» se abre («consent»='yes'), «Distrito» no debe responderse.</t>
  </si>
  <si>
    <t xml:space="preserve">salto_district_nodebe &lt;- ( !((consent=='yes') &amp; (consent=='yes')) &amp; (!is.na(district) &amp; trimws(district) != "") )</t>
  </si>
  <si>
    <t xml:space="preserve">UBIC_009</t>
  </si>
  <si>
    <t xml:space="preserve">salto_province_debe</t>
  </si>
  <si>
    <t xml:space="preserve">salto_province_debe &lt;- ( ((consent=='yes') &amp; (consent=='yes')) &amp; (is.na(province) | trimws(province) == "") )</t>
  </si>
  <si>
    <t xml:space="preserve">UBIC_010</t>
  </si>
  <si>
    <t xml:space="preserve">salto_province_nodebe</t>
  </si>
  <si>
    <t xml:space="preserve">Si la sección «Ubicación administrativa» se abre («consent»='yes'), «Provincia» no debe responderse.</t>
  </si>
  <si>
    <t xml:space="preserve">salto_province_nodebe &lt;- ( !((consent=='yes') &amp; (consent=='yes')) &amp; (!is.na(province) &amp; trimws(province) != "") )</t>
  </si>
  <si>
    <t xml:space="preserve">UBIC_011</t>
  </si>
  <si>
    <t xml:space="preserve">salto_region_debe</t>
  </si>
  <si>
    <t xml:space="preserve">salto_region_debe &lt;- ( ((consent=='yes') &amp; (consent=='yes')) &amp; (is.na(region) | trimws(region) == "") )</t>
  </si>
  <si>
    <t xml:space="preserve">UBIC_012</t>
  </si>
  <si>
    <t xml:space="preserve">salto_region_nodebe</t>
  </si>
  <si>
    <t xml:space="preserve">Si la sección «Ubicación administrativa» se abre («consent»='yes'), «Región/Departamento» no debe responderse.</t>
  </si>
  <si>
    <t xml:space="preserve">salto_region_nodebe &lt;- ( !((consent=='yes') &amp; (consent=='yes')) &amp; (!is.na(region) &amp; trimws(region) != "") )</t>
  </si>
  <si>
    <t xml:space="preserve">HOGA_001</t>
  </si>
  <si>
    <t xml:space="preserve">hogar</t>
  </si>
  <si>
    <t xml:space="preserve">Consistencia</t>
  </si>
  <si>
    <t xml:space="preserve">integer</t>
  </si>
  <si>
    <t xml:space="preserve">cons_hh_head_age_form</t>
  </si>
  <si>
    <t xml:space="preserve">Si la sección «Hogar y Demografía» se abre («consent»='yes'), «Edad de la persona de referencia» respeta la regla del formulario.</t>
  </si>
  <si>
    <t xml:space="preserve">hh_head_age</t>
  </si>
  <si>
    <t xml:space="preserve">Edad de la persona de referencia</t>
  </si>
  <si>
    <t xml:space="preserve">cons_hh_head_age_form &lt;- ( ((consent=='yes') &amp; (consent=='yes')) &amp; !(hh_head_age&gt;=15 &amp; hh_head_age&lt;=99) )</t>
  </si>
  <si>
    <t xml:space="preserve">HOGA_002</t>
  </si>
  <si>
    <t xml:space="preserve">cons_hh_size_form</t>
  </si>
  <si>
    <t xml:space="preserve">Si la sección «Hogar y Demografía» se abre («consent»='yes'), «Tamaño del hogar» respeta la regla del formulario.</t>
  </si>
  <si>
    <t xml:space="preserve">hh_size</t>
  </si>
  <si>
    <t xml:space="preserve">Tamaño del hogar</t>
  </si>
  <si>
    <t xml:space="preserve">cons_hh_size_form &lt;- ( ((consent=='yes') &amp; (consent=='yes')) &amp; !(hh_size&gt;=1 &amp; hh_size&lt;=20) )</t>
  </si>
  <si>
    <t xml:space="preserve">HOGA_003</t>
  </si>
  <si>
    <t xml:space="preserve">cons_num_children_form</t>
  </si>
  <si>
    <t xml:space="preserve">Si la sección «Hogar y Demografía» se abre («consent»='yes') y además («hh_has_children»='yes'), «¿Cuántos menores de 18?» respeta la regla del formulario.</t>
  </si>
  <si>
    <t xml:space="preserve">num_children</t>
  </si>
  <si>
    <t xml:space="preserve">¿Cuántos menores de 18?</t>
  </si>
  <si>
    <t xml:space="preserve">hh_has_children</t>
  </si>
  <si>
    <t xml:space="preserve">¿Hay menores de 18 años?</t>
  </si>
  <si>
    <t xml:space="preserve">cons_num_children_form &lt;- ( ((consent=='yes') &amp; (hh_has_children=='yes')) &amp; !(num_children&gt;=0 &amp; num_children&lt;=15) )</t>
  </si>
  <si>
    <t xml:space="preserve">HOGA_004</t>
  </si>
  <si>
    <t xml:space="preserve">cons_num_elderly_form</t>
  </si>
  <si>
    <t xml:space="preserve">Si la sección «Hogar y Demografía» se abre («consent»='yes') y además («has_elderly»='yes'), «¿Cuántas personas 60+?» respeta la regla del formulario.</t>
  </si>
  <si>
    <t xml:space="preserve">num_elderly</t>
  </si>
  <si>
    <t xml:space="preserve">¿Cuántas personas 60+?</t>
  </si>
  <si>
    <t xml:space="preserve">has_elderly</t>
  </si>
  <si>
    <t xml:space="preserve">¿Hay personas 60+?</t>
  </si>
  <si>
    <t xml:space="preserve">cons_num_elderly_form &lt;- ( ((consent=='yes') &amp; (has_elderly=='yes')) &amp; !(num_elderly&gt;=0 &amp; num_elderly&lt;=10) )</t>
  </si>
  <si>
    <t xml:space="preserve">HOGA_005</t>
  </si>
  <si>
    <t xml:space="preserve">req_hh_head_age_req</t>
  </si>
  <si>
    <t xml:space="preserve">Si la sección «Hogar y Demografía» se abre («consent»='yes'), «Edad de la persona de referencia» debe responderse.</t>
  </si>
  <si>
    <t xml:space="preserve">req_hh_head_age_req &lt;- ( ((consent=='yes') &amp; (consent=='yes')) &amp; (is.na(hh_head_age) | trimws(hh_head_age) == "") )</t>
  </si>
  <si>
    <t xml:space="preserve">HOGA_006</t>
  </si>
  <si>
    <t xml:space="preserve">req_hh_head_educ_req</t>
  </si>
  <si>
    <t xml:space="preserve">Si la sección «Hogar y Demografía» se abre («consent»='yes'), «Nivel educativo» debe responderse.</t>
  </si>
  <si>
    <t xml:space="preserve">hh_head_educ</t>
  </si>
  <si>
    <t xml:space="preserve">Nivel educativo</t>
  </si>
  <si>
    <t xml:space="preserve">req_hh_head_educ_req &lt;- ( ((consent=='yes') &amp; (consent=='yes')) &amp; (is.na(hh_head_educ) | trimws(hh_head_educ) == "") )</t>
  </si>
  <si>
    <t xml:space="preserve">HOGA_007</t>
  </si>
  <si>
    <t xml:space="preserve">req_hh_head_marital_req</t>
  </si>
  <si>
    <t xml:space="preserve">Si la sección «Hogar y Demografía» se abre («consent»='yes'), «Estado civil» debe responderse.</t>
  </si>
  <si>
    <t xml:space="preserve">hh_head_marital</t>
  </si>
  <si>
    <t xml:space="preserve">Estado civil</t>
  </si>
  <si>
    <t xml:space="preserve">req_hh_head_marital_req &lt;- ( ((consent=='yes') &amp; (consent=='yes')) &amp; (is.na(hh_head_marital) | trimws(hh_head_marital) == "") )</t>
  </si>
  <si>
    <t xml:space="preserve">HOGA_008</t>
  </si>
  <si>
    <t xml:space="preserve">req_hh_head_sex_req</t>
  </si>
  <si>
    <t xml:space="preserve">Si la sección «Hogar y Demografía» se abre («consent»='yes'), «Sexo de la persona de referencia» debe responderse.</t>
  </si>
  <si>
    <t xml:space="preserve">hh_head_sex</t>
  </si>
  <si>
    <t xml:space="preserve">Sexo de la persona de referencia</t>
  </si>
  <si>
    <t xml:space="preserve">req_hh_head_sex_req &lt;- ( ((consent=='yes') &amp; (consent=='yes')) &amp; (is.na(hh_head_sex) | trimws(hh_head_sex) == "") )</t>
  </si>
  <si>
    <t xml:space="preserve">HOGA_009</t>
  </si>
  <si>
    <t xml:space="preserve">req_hh_size_req</t>
  </si>
  <si>
    <t xml:space="preserve">Si la sección «Hogar y Demografía» se abre («consent»='yes'), «Tamaño del hogar» debe responderse.</t>
  </si>
  <si>
    <t xml:space="preserve">req_hh_size_req &lt;- ( ((consent=='yes') &amp; (consent=='yes')) &amp; (is.na(hh_size) | trimws(hh_size) == "") )</t>
  </si>
  <si>
    <t xml:space="preserve">HOGA_010</t>
  </si>
  <si>
    <t xml:space="preserve">salto_has_elderly_debe</t>
  </si>
  <si>
    <t xml:space="preserve">Si la sección «Hogar y Demografía» se abre («consent»='yes'), «¿Hay personas 60+?» debe responderse.</t>
  </si>
  <si>
    <t xml:space="preserve">salto_has_elderly_debe &lt;- ( ((consent=='yes') &amp; (consent=='yes')) &amp; (is.na(has_elderly) | trimws(has_elderly) == "") )</t>
  </si>
  <si>
    <t xml:space="preserve">HOGA_011</t>
  </si>
  <si>
    <t xml:space="preserve">salto_has_elderly_nodebe</t>
  </si>
  <si>
    <t xml:space="preserve">Si la sección «Hogar y Demografía» se abre («consent»='yes'), «¿Hay personas 60+?» no debe responderse.</t>
  </si>
  <si>
    <t xml:space="preserve">salto_has_elderly_nodebe &lt;- ( !((consent=='yes') &amp; (consent=='yes')) &amp; (!is.na(has_elderly) &amp; trimws(has_elderly) != "") )</t>
  </si>
  <si>
    <t xml:space="preserve">HOGA_012</t>
  </si>
  <si>
    <t xml:space="preserve">select_multiple</t>
  </si>
  <si>
    <t xml:space="preserve">salto_hh_disability_debe</t>
  </si>
  <si>
    <t xml:space="preserve">Si la sección «Hogar y Demografía» se abre («consent»='yes'), «¿Alguien tiene discapacidad?» debe responderse.</t>
  </si>
  <si>
    <t xml:space="preserve">hh_disability</t>
  </si>
  <si>
    <t xml:space="preserve">¿Alguien tiene discapacidad?</t>
  </si>
  <si>
    <t xml:space="preserve">salto_hh_disability_debe &lt;- ( ((consent=='yes') &amp; (consent=='yes')) &amp; (is.na(hh_disability) | trimws(hh_disability) == "") )</t>
  </si>
  <si>
    <t xml:space="preserve">HOGA_013</t>
  </si>
  <si>
    <t xml:space="preserve">salto_hh_disability_nodebe</t>
  </si>
  <si>
    <t xml:space="preserve">Si la sección «Hogar y Demografía» se abre («consent»='yes'), «¿Alguien tiene discapacidad?» no debe responderse.</t>
  </si>
  <si>
    <t xml:space="preserve">salto_hh_disability_nodebe &lt;- ( !((consent=='yes') &amp; (consent=='yes')) &amp; (!is.na(hh_disability) &amp; trimws(hh_disability) != "") )</t>
  </si>
  <si>
    <t xml:space="preserve">HOGA_014</t>
  </si>
  <si>
    <t xml:space="preserve">salto_hh_has_children_debe</t>
  </si>
  <si>
    <t xml:space="preserve">Si la sección «Hogar y Demografía» se abre («consent»='yes'), «¿Hay menores de 18 años?» debe responderse.</t>
  </si>
  <si>
    <t xml:space="preserve">salto_hh_has_children_debe &lt;- ( ((consent=='yes') &amp; (consent=='yes')) &amp; (is.na(hh_has_children) | trimws(hh_has_children) == "") )</t>
  </si>
  <si>
    <t xml:space="preserve">HOGA_015</t>
  </si>
  <si>
    <t xml:space="preserve">salto_hh_has_children_nodebe</t>
  </si>
  <si>
    <t xml:space="preserve">Si la sección «Hogar y Demografía» se abre («consent»='yes'), «¿Hay menores de 18 años?» no debe responderse.</t>
  </si>
  <si>
    <t xml:space="preserve">salto_hh_has_children_nodebe &lt;- ( !((consent=='yes') &amp; (consent=='yes')) &amp; (!is.na(hh_has_children) &amp; trimws(hh_has_children) != "") )</t>
  </si>
  <si>
    <t xml:space="preserve">HOGA_016</t>
  </si>
  <si>
    <t xml:space="preserve">salto_hh_head_age_debe</t>
  </si>
  <si>
    <t xml:space="preserve">salto_hh_head_age_debe &lt;- ( ((consent=='yes') &amp; (consent=='yes')) &amp; (is.na(hh_head_age) | trimws(hh_head_age) == "") )</t>
  </si>
  <si>
    <t xml:space="preserve">HOGA_017</t>
  </si>
  <si>
    <t xml:space="preserve">salto_hh_head_age_nodebe</t>
  </si>
  <si>
    <t xml:space="preserve">Si la sección «Hogar y Demografía» se abre («consent»='yes'), «Edad de la persona de referencia» no debe responderse.</t>
  </si>
  <si>
    <t xml:space="preserve">salto_hh_head_age_nodebe &lt;- ( !((consent=='yes') &amp; (consent=='yes')) &amp; (!is.na(hh_head_age) &amp; trimws(hh_head_age) != "") )</t>
  </si>
  <si>
    <t xml:space="preserve">HOGA_018</t>
  </si>
  <si>
    <t xml:space="preserve">salto_hh_head_educ_debe</t>
  </si>
  <si>
    <t xml:space="preserve">salto_hh_head_educ_debe &lt;- ( ((consent=='yes') &amp; (consent=='yes')) &amp; (is.na(hh_head_educ) | trimws(hh_head_educ) == "") )</t>
  </si>
  <si>
    <t xml:space="preserve">HOGA_019</t>
  </si>
  <si>
    <t xml:space="preserve">salto_hh_head_educ_nodebe</t>
  </si>
  <si>
    <t xml:space="preserve">Si la sección «Hogar y Demografía» se abre («consent»='yes'), «Nivel educativo» no debe responderse.</t>
  </si>
  <si>
    <t xml:space="preserve">salto_hh_head_educ_nodebe &lt;- ( !((consent=='yes') &amp; (consent=='yes')) &amp; (!is.na(hh_head_educ) &amp; trimws(hh_head_educ) != "") )</t>
  </si>
  <si>
    <t xml:space="preserve">HOGA_020</t>
  </si>
  <si>
    <t xml:space="preserve">salto_hh_head_marital_debe</t>
  </si>
  <si>
    <t xml:space="preserve">salto_hh_head_marital_debe &lt;- ( ((consent=='yes') &amp; (consent=='yes')) &amp; (is.na(hh_head_marital) | trimws(hh_head_marital) == "") )</t>
  </si>
  <si>
    <t xml:space="preserve">HOGA_021</t>
  </si>
  <si>
    <t xml:space="preserve">salto_hh_head_marital_nodebe</t>
  </si>
  <si>
    <t xml:space="preserve">Si la sección «Hogar y Demografía» se abre («consent»='yes'), «Estado civil» no debe responderse.</t>
  </si>
  <si>
    <t xml:space="preserve">salto_hh_head_marital_nodebe &lt;- ( !((consent=='yes') &amp; (consent=='yes')) &amp; (!is.na(hh_head_marital) &amp; trimws(hh_head_marital) != "") )</t>
  </si>
  <si>
    <t xml:space="preserve">HOGA_022</t>
  </si>
  <si>
    <t xml:space="preserve">salto_hh_head_sex_debe</t>
  </si>
  <si>
    <t xml:space="preserve">salto_hh_head_sex_debe &lt;- ( ((consent=='yes') &amp; (consent=='yes')) &amp; (is.na(hh_head_sex) | trimws(hh_head_sex) == "") )</t>
  </si>
  <si>
    <t xml:space="preserve">HOGA_023</t>
  </si>
  <si>
    <t xml:space="preserve">salto_hh_head_sex_nodebe</t>
  </si>
  <si>
    <t xml:space="preserve">Si la sección «Hogar y Demografía» se abre («consent»='yes'), «Sexo de la persona de referencia» no debe responderse.</t>
  </si>
  <si>
    <t xml:space="preserve">salto_hh_head_sex_nodebe &lt;- ( !((consent=='yes') &amp; (consent=='yes')) &amp; (!is.na(hh_head_sex) &amp; trimws(hh_head_sex) != "") )</t>
  </si>
  <si>
    <t xml:space="preserve">HOGA_024</t>
  </si>
  <si>
    <t xml:space="preserve">salto_hh_size_debe</t>
  </si>
  <si>
    <t xml:space="preserve">salto_hh_size_debe &lt;- ( ((consent=='yes') &amp; (consent=='yes')) &amp; (is.na(hh_size) | trimws(hh_size) == "") )</t>
  </si>
  <si>
    <t xml:space="preserve">HOGA_025</t>
  </si>
  <si>
    <t xml:space="preserve">salto_hh_size_nodebe</t>
  </si>
  <si>
    <t xml:space="preserve">Si la sección «Hogar y Demografía» se abre («consent»='yes'), «Tamaño del hogar» no debe responderse.</t>
  </si>
  <si>
    <t xml:space="preserve">salto_hh_size_nodebe &lt;- ( !((consent=='yes') &amp; (consent=='yes')) &amp; (!is.na(hh_size) &amp; trimws(hh_size) != "") )</t>
  </si>
  <si>
    <t xml:space="preserve">HOGA_026</t>
  </si>
  <si>
    <t xml:space="preserve">salto_num_children_debe</t>
  </si>
  <si>
    <t xml:space="preserve">Si la sección «Hogar y Demografía» se abre («consent»='yes') y además («hh_has_children»='yes'), «¿Cuántos menores de 18?» debe responderse.</t>
  </si>
  <si>
    <t xml:space="preserve">salto_num_children_debe &lt;- ( ((consent=='yes') &amp; (hh_has_children=='yes')) &amp; (is.na(num_children) | trimws(num_children) == "") )</t>
  </si>
  <si>
    <t xml:space="preserve">HOGA_027</t>
  </si>
  <si>
    <t xml:space="preserve">salto_num_children_nodebe</t>
  </si>
  <si>
    <t xml:space="preserve">Si la sección «Hogar y Demografía» se abre («consent»='yes') y además («hh_has_children»='yes'), «¿Cuántos menores de 18?» no debe responderse.</t>
  </si>
  <si>
    <t xml:space="preserve">salto_num_children_nodebe &lt;- ( !((consent=='yes') &amp; (hh_has_children=='yes')) &amp; (!is.na(num_children) &amp; trimws(num_children) != "") )</t>
  </si>
  <si>
    <t xml:space="preserve">HOGA_028</t>
  </si>
  <si>
    <t xml:space="preserve">salto_num_elderly_debe</t>
  </si>
  <si>
    <t xml:space="preserve">Si la sección «Hogar y Demografía» se abre («consent»='yes') y además («has_elderly»='yes'), «¿Cuántas personas 60+?» debe responderse.</t>
  </si>
  <si>
    <t xml:space="preserve">salto_num_elderly_debe &lt;- ( ((consent=='yes') &amp; (has_elderly=='yes')) &amp; (is.na(num_elderly) | trimws(num_elderly) == "") )</t>
  </si>
  <si>
    <t xml:space="preserve">HOGA_029</t>
  </si>
  <si>
    <t xml:space="preserve">salto_num_elderly_nodebe</t>
  </si>
  <si>
    <t xml:space="preserve">Si la sección «Hogar y Demografía» se abre («consent»='yes') y además («has_elderly»='yes'), «¿Cuántas personas 60+?» no debe responderse.</t>
  </si>
  <si>
    <t xml:space="preserve">salto_num_elderly_nodebe &lt;- ( !((consent=='yes') &amp; (has_elderly=='yes')) &amp; (!is.na(num_elderly) &amp; trimws(num_elderly) != "") )</t>
  </si>
  <si>
    <t xml:space="preserve">EDUC_001</t>
  </si>
  <si>
    <t xml:space="preserve">educ</t>
  </si>
  <si>
    <t xml:space="preserve">cons_n_school_age_form</t>
  </si>
  <si>
    <t xml:space="preserve">Si la sección «Educación» se abre («consent»='yes') y además («any_school_age»='yes'), «¿Cuántas 6–17?» respeta la regla del formulario.</t>
  </si>
  <si>
    <t xml:space="preserve">n_school_age</t>
  </si>
  <si>
    <t xml:space="preserve">¿Cuántas 6–17?</t>
  </si>
  <si>
    <t xml:space="preserve">any_school_age</t>
  </si>
  <si>
    <t xml:space="preserve">¿Hay personas 6–17?</t>
  </si>
  <si>
    <t xml:space="preserve">cons_n_school_age_form &lt;- ( ((consent=='yes') &amp; (any_school_age=='yes')) &amp; !(n_school_age&gt;=0 &amp; n_school_age&lt;=15) )</t>
  </si>
  <si>
    <t xml:space="preserve">EDUC_002</t>
  </si>
  <si>
    <t xml:space="preserve">salto_all_in_school_debe</t>
  </si>
  <si>
    <t xml:space="preserve">Si la sección «Educación» se abre («consent»='yes') y además («any_school_age»='yes'), «¿Todas asisten?» debe responderse.</t>
  </si>
  <si>
    <t xml:space="preserve">all_in_school</t>
  </si>
  <si>
    <t xml:space="preserve">¿Todas asisten?</t>
  </si>
  <si>
    <t xml:space="preserve">salto_all_in_school_debe &lt;- ( ((consent=='yes') &amp; (any_school_age=='yes')) &amp; (is.na(all_in_school) | trimws(all_in_school) == "") )</t>
  </si>
  <si>
    <t xml:space="preserve">EDUC_003</t>
  </si>
  <si>
    <t xml:space="preserve">salto_all_in_school_nodebe</t>
  </si>
  <si>
    <t xml:space="preserve">Si la sección «Educación» se abre («consent»='yes') y además («any_school_age»='yes'), «¿Todas asisten?» no debe responderse.</t>
  </si>
  <si>
    <t xml:space="preserve">salto_all_in_school_nodebe &lt;- ( !((consent=='yes') &amp; (any_school_age=='yes')) &amp; (!is.na(all_in_school) &amp; trimws(all_in_school) != "") )</t>
  </si>
  <si>
    <t xml:space="preserve">EDUC_004</t>
  </si>
  <si>
    <t xml:space="preserve">salto_any_school_age_debe</t>
  </si>
  <si>
    <t xml:space="preserve">Si la sección «Educación» se abre («consent»='yes'), «¿Hay personas 6–17?» debe responderse.</t>
  </si>
  <si>
    <t xml:space="preserve">salto_any_school_age_debe &lt;- ( ((consent=='yes') &amp; (consent=='yes')) &amp; (is.na(any_school_age) | trimws(any_school_age) == "") )</t>
  </si>
  <si>
    <t xml:space="preserve">EDUC_005</t>
  </si>
  <si>
    <t xml:space="preserve">salto_any_school_age_nodebe</t>
  </si>
  <si>
    <t xml:space="preserve">Si la sección «Educación» se abre («consent»='yes'), «¿Hay personas 6–17?» no debe responderse.</t>
  </si>
  <si>
    <t xml:space="preserve">salto_any_school_age_nodebe &lt;- ( !((consent=='yes') &amp; (consent=='yes')) &amp; (!is.na(any_school_age) &amp; trimws(any_school_age) != "") )</t>
  </si>
  <si>
    <t xml:space="preserve">EDUC_006</t>
  </si>
  <si>
    <t xml:space="preserve">salto_dropout_reason_debe</t>
  </si>
  <si>
    <t xml:space="preserve">Si la sección «Educación» se abre («consent»='yes') y además («has_dropout»='yes'), «Motivo de deserción (si aplica)» debe responderse.</t>
  </si>
  <si>
    <t xml:space="preserve">dropout_reason</t>
  </si>
  <si>
    <t xml:space="preserve">Motivo de deserción (si aplica)</t>
  </si>
  <si>
    <t xml:space="preserve">has_dropout</t>
  </si>
  <si>
    <t xml:space="preserve">¿Hubo deserción reciente?</t>
  </si>
  <si>
    <t xml:space="preserve">salto_dropout_reason_debe &lt;- ( ((consent=='yes') &amp; (has_dropout=='yes')) &amp; (is.na(dropout_reason) | trimws(dropout_reason) == "") )</t>
  </si>
  <si>
    <t xml:space="preserve">EDUC_007</t>
  </si>
  <si>
    <t xml:space="preserve">salto_dropout_reason_nodebe</t>
  </si>
  <si>
    <t xml:space="preserve">Si la sección «Educación» se abre («consent»='yes') y además («has_dropout»='yes'), «Motivo de deserción (si aplica)» no debe responderse.</t>
  </si>
  <si>
    <t xml:space="preserve">salto_dropout_reason_nodebe &lt;- ( !((consent=='yes') &amp; (has_dropout=='yes')) &amp; (!is.na(dropout_reason) &amp; trimws(dropout_reason) != "") )</t>
  </si>
  <si>
    <t xml:space="preserve">EDUC_008</t>
  </si>
  <si>
    <t xml:space="preserve">salto_has_dropout_debe</t>
  </si>
  <si>
    <t xml:space="preserve">Si la sección «Educación» se abre («consent»='yes') y además («any_school_age»='yes'), «¿Hubo deserción reciente?» debe responderse.</t>
  </si>
  <si>
    <t xml:space="preserve">salto_has_dropout_debe &lt;- ( ((consent=='yes') &amp; (any_school_age=='yes')) &amp; (is.na(has_dropout) | trimws(has_dropout) == "") )</t>
  </si>
  <si>
    <t xml:space="preserve">EDUC_009</t>
  </si>
  <si>
    <t xml:space="preserve">salto_has_dropout_nodebe</t>
  </si>
  <si>
    <t xml:space="preserve">Si la sección «Educación» se abre («consent»='yes') y además («any_school_age»='yes'), «¿Hubo deserción reciente?» no debe responderse.</t>
  </si>
  <si>
    <t xml:space="preserve">salto_has_dropout_nodebe &lt;- ( !((consent=='yes') &amp; (any_school_age=='yes')) &amp; (!is.na(has_dropout) &amp; trimws(has_dropout) != "") )</t>
  </si>
  <si>
    <t xml:space="preserve">EDUC_010</t>
  </si>
  <si>
    <t xml:space="preserve">salto_n_school_age_debe</t>
  </si>
  <si>
    <t xml:space="preserve">Si la sección «Educación» se abre («consent»='yes') y además («any_school_age»='yes'), «¿Cuántas 6–17?» debe responderse.</t>
  </si>
  <si>
    <t xml:space="preserve">salto_n_school_age_debe &lt;- ( ((consent=='yes') &amp; (any_school_age=='yes')) &amp; (is.na(n_school_age) | trimws(n_school_age) == "") )</t>
  </si>
  <si>
    <t xml:space="preserve">EDUC_011</t>
  </si>
  <si>
    <t xml:space="preserve">salto_n_school_age_nodebe</t>
  </si>
  <si>
    <t xml:space="preserve">Si la sección «Educación» se abre («consent»='yes') y además («any_school_age»='yes'), «¿Cuántas 6–17?» no debe responderse.</t>
  </si>
  <si>
    <t xml:space="preserve">salto_n_school_age_nodebe &lt;- ( !((consent=='yes') &amp; (any_school_age=='yes')) &amp; (!is.na(n_school_age) &amp; trimws(n_school_age) != "") )</t>
  </si>
  <si>
    <t xml:space="preserve">EDUC_012</t>
  </si>
  <si>
    <t xml:space="preserve">salto_school_barriers_debe</t>
  </si>
  <si>
    <t xml:space="preserve">Si la sección «Educación» se abre («consent»='yes') y además («any_school_age»='yes' y «all_in_school»='no'), «Si no, barreras» debe responderse.</t>
  </si>
  <si>
    <t xml:space="preserve">school_barriers</t>
  </si>
  <si>
    <t xml:space="preserve">Si no, barreras</t>
  </si>
  <si>
    <t xml:space="preserve">salto_school_barriers_debe &lt;- ( ((consent=='yes') &amp; (any_school_age=='yes' &amp; all_in_school=='no')) &amp; (is.na(school_barriers) | trimws(school_barriers) == "") )</t>
  </si>
  <si>
    <t xml:space="preserve">EDUC_013</t>
  </si>
  <si>
    <t xml:space="preserve">salto_school_barriers_nodebe</t>
  </si>
  <si>
    <t xml:space="preserve">Si la sección «Educación» se abre («consent»='yes') y además («any_school_age»='yes' y «all_in_school»='no'), «Si no, barreras» no debe responderse.</t>
  </si>
  <si>
    <t xml:space="preserve">salto_school_barriers_nodebe &lt;- ( !((consent=='yes') &amp; (any_school_age=='yes' &amp; all_in_school=='no')) &amp; (!is.na(school_barriers) &amp; trimws(school_barriers) != "") )</t>
  </si>
  <si>
    <t xml:space="preserve">EMPL_001</t>
  </si>
  <si>
    <t xml:space="preserve">empleo</t>
  </si>
  <si>
    <t xml:space="preserve">decimal</t>
  </si>
  <si>
    <t xml:space="preserve">cons_income_month_form</t>
  </si>
  <si>
    <t xml:space="preserve">Si la sección «Empleo e ingresos» se abre («consent»='yes' y «country»='PE') y además («consent»='yes'), «Ingreso total (último mes)» respeta la regla del formulario.</t>
  </si>
  <si>
    <t xml:space="preserve">income_month</t>
  </si>
  <si>
    <t xml:space="preserve">Ingreso total (último mes)</t>
  </si>
  <si>
    <t xml:space="preserve">cons_income_month_form &lt;- ( ((consent=='yes' &amp; country=='PE') &amp; (consent=='yes')) &amp; !(income_month&gt;=0 &amp; income_month&lt;=30000) )</t>
  </si>
  <si>
    <t xml:space="preserve">EMPL_002</t>
  </si>
  <si>
    <t xml:space="preserve">req_head_emp_status_req</t>
  </si>
  <si>
    <t xml:space="preserve">Si la sección «Empleo e ingresos» se abre («consent»='yes' y «country»='PE') y además («consent»='yes'), «Situación laboral del/de la jefe/a» debe responderse.</t>
  </si>
  <si>
    <t xml:space="preserve">head_emp_status</t>
  </si>
  <si>
    <t xml:space="preserve">Situación laboral del/de la jefe/a</t>
  </si>
  <si>
    <t xml:space="preserve">req_head_emp_status_req &lt;- ( ((consent=='yes' &amp; country=='PE') &amp; (consent=='yes')) &amp; (is.na(head_emp_status) | trimws(head_emp_status) == "") )</t>
  </si>
  <si>
    <t xml:space="preserve">EMPL_003</t>
  </si>
  <si>
    <t xml:space="preserve">salto_head_emp_status_debe</t>
  </si>
  <si>
    <t xml:space="preserve">salto_head_emp_status_debe &lt;- ( ((consent=='yes' &amp; country=='PE') &amp; (consent=='yes')) &amp; (is.na(head_emp_status) | trimws(head_emp_status) == "") )</t>
  </si>
  <si>
    <t xml:space="preserve">EMPL_004</t>
  </si>
  <si>
    <t xml:space="preserve">salto_head_emp_status_nodebe</t>
  </si>
  <si>
    <t xml:space="preserve">Si la sección «Empleo e ingresos» se abre («consent»='yes' y «country»='PE') y además («consent»='yes'), «Situación laboral del/de la jefe/a» no debe responderse.</t>
  </si>
  <si>
    <t xml:space="preserve">salto_head_emp_status_nodebe &lt;- ( !((consent=='yes' &amp; country=='PE') &amp; (consent=='yes')) &amp; (!is.na(head_emp_status) &amp; trimws(head_emp_status) != "") )</t>
  </si>
  <si>
    <t xml:space="preserve">EMPL_005</t>
  </si>
  <si>
    <t xml:space="preserve">salto_income_month_debe</t>
  </si>
  <si>
    <t xml:space="preserve">Si la sección «Empleo e ingresos» se abre («consent»='yes' y «country»='PE') y además («consent»='yes'), «Ingreso total (último mes)» debe responderse.</t>
  </si>
  <si>
    <t xml:space="preserve">salto_income_month_debe &lt;- ( ((consent=='yes' &amp; country=='PE') &amp; (consent=='yes')) &amp; (is.na(income_month) | trimws(income_month) == "") )</t>
  </si>
  <si>
    <t xml:space="preserve">EMPL_006</t>
  </si>
  <si>
    <t xml:space="preserve">salto_income_month_nodebe</t>
  </si>
  <si>
    <t xml:space="preserve">Si la sección «Empleo e ingresos» se abre («consent»='yes' y «country»='PE') y además («consent»='yes'), «Ingreso total (último mes)» no debe responderse.</t>
  </si>
  <si>
    <t xml:space="preserve">salto_income_month_nodebe &lt;- ( !((consent=='yes' &amp; country=='PE') &amp; (consent=='yes')) &amp; (!is.na(income_month) &amp; trimws(income_month) != "") )</t>
  </si>
  <si>
    <t xml:space="preserve">EMPL_007</t>
  </si>
  <si>
    <t xml:space="preserve">salto_income_shock_debe</t>
  </si>
  <si>
    <t xml:space="preserve">Si la sección «Empleo e ingresos» se abre («consent»='yes' y «country»='PE') y además («consent»='yes'), «¿Sufrió un shock de ingresos?» debe responderse.</t>
  </si>
  <si>
    <t xml:space="preserve">income_shock</t>
  </si>
  <si>
    <t xml:space="preserve">¿Sufrió un shock de ingresos?</t>
  </si>
  <si>
    <t xml:space="preserve">salto_income_shock_debe &lt;- ( ((consent=='yes' &amp; country=='PE') &amp; (consent=='yes')) &amp; (is.na(income_shock) | trimws(income_shock) == "") )</t>
  </si>
  <si>
    <t xml:space="preserve">EMPL_008</t>
  </si>
  <si>
    <t xml:space="preserve">salto_income_shock_nodebe</t>
  </si>
  <si>
    <t xml:space="preserve">Si la sección «Empleo e ingresos» se abre («consent»='yes' y «country»='PE') y además («consent»='yes'), «¿Sufrió un shock de ingresos?» no debe responderse.</t>
  </si>
  <si>
    <t xml:space="preserve">salto_income_shock_nodebe &lt;- ( !((consent=='yes' &amp; country=='PE') &amp; (consent=='yes')) &amp; (!is.na(income_shock) &amp; trimws(income_shock) != "") )</t>
  </si>
  <si>
    <t xml:space="preserve">EMPL_009</t>
  </si>
  <si>
    <t xml:space="preserve">salto_income_sources_debe</t>
  </si>
  <si>
    <t xml:space="preserve">Si la sección «Empleo e ingresos» se abre («consent»='yes' y «country»='PE') y además («consent»='yes'), «Fuentes de ingreso» debe responderse.</t>
  </si>
  <si>
    <t xml:space="preserve">income_sources</t>
  </si>
  <si>
    <t xml:space="preserve">Fuentes de ingreso</t>
  </si>
  <si>
    <t xml:space="preserve">salto_income_sources_debe &lt;- ( ((consent=='yes' &amp; country=='PE') &amp; (consent=='yes')) &amp; (is.na(income_sources) | trimws(income_sources) == "") )</t>
  </si>
  <si>
    <t xml:space="preserve">EMPL_010</t>
  </si>
  <si>
    <t xml:space="preserve">salto_income_sources_nodebe</t>
  </si>
  <si>
    <t xml:space="preserve">Si la sección «Empleo e ingresos» se abre («consent»='yes' y «country»='PE') y además («consent»='yes'), «Fuentes de ingreso» no debe responderse.</t>
  </si>
  <si>
    <t xml:space="preserve">salto_income_sources_nodebe &lt;- ( !((consent=='yes' &amp; country=='PE') &amp; (consent=='yes')) &amp; (!is.na(income_sources) &amp; trimws(income_sources) != "") )</t>
  </si>
  <si>
    <t xml:space="preserve">EMPL_011</t>
  </si>
  <si>
    <t xml:space="preserve">salto_shock_types_debe</t>
  </si>
  <si>
    <t xml:space="preserve">Si la sección «Empleo e ingresos» se abre («consent»='yes' y «country»='PE') y además («income_shock»='yes'), «Tipo de shock» debe responderse.</t>
  </si>
  <si>
    <t xml:space="preserve">shock_types</t>
  </si>
  <si>
    <t xml:space="preserve">Tipo de shock</t>
  </si>
  <si>
    <t xml:space="preserve">salto_shock_types_debe &lt;- ( ((consent=='yes' &amp; country=='PE') &amp; (income_shock=='yes')) &amp; (is.na(shock_types) | trimws(shock_types) == "") )</t>
  </si>
  <si>
    <t xml:space="preserve">EMPL_012</t>
  </si>
  <si>
    <t xml:space="preserve">salto_shock_types_nodebe</t>
  </si>
  <si>
    <t xml:space="preserve">Si la sección «Empleo e ingresos» se abre («consent»='yes' y «country»='PE') y además («income_shock»='yes'), «Tipo de shock» no debe responderse.</t>
  </si>
  <si>
    <t xml:space="preserve">salto_shock_types_nodebe &lt;- ( !((consent=='yes' &amp; country=='PE') &amp; (income_shock=='yes')) &amp; (!is.na(shock_types) &amp; trimws(shock_types) != "") )</t>
  </si>
  <si>
    <t xml:space="preserve">VIVI_001</t>
  </si>
  <si>
    <t xml:space="preserve">vivienda</t>
  </si>
  <si>
    <t xml:space="preserve">cons_crowding_form</t>
  </si>
  <si>
    <t xml:space="preserve">Si la sección «Vivienda y servicios» se abre («consent»='yes'), «Personas por cuarto (redondeado)» respeta la regla del formulario.</t>
  </si>
  <si>
    <t xml:space="preserve">crowding</t>
  </si>
  <si>
    <t xml:space="preserve">Personas por cuarto (redondeado)</t>
  </si>
  <si>
    <t xml:space="preserve">cons_crowding_form &lt;- ( ((consent=='yes') &amp; (consent=='yes')) &amp; !(crowding&gt;=0 &amp; crowding&lt;=10) )</t>
  </si>
  <si>
    <t xml:space="preserve">VIVI_002</t>
  </si>
  <si>
    <t xml:space="preserve">cons_rooms_form</t>
  </si>
  <si>
    <t xml:space="preserve">Si la sección «Vivienda y servicios» se abre («consent»='yes'), «Número de cuartos (sin baño/cocina)» respeta la regla del formulario.</t>
  </si>
  <si>
    <t xml:space="preserve">rooms</t>
  </si>
  <si>
    <t xml:space="preserve">Número de cuartos (sin baño/cocina)</t>
  </si>
  <si>
    <t xml:space="preserve">cons_rooms_form &lt;- ( ((consent=='yes') &amp; (consent=='yes')) &amp; !(rooms&gt;=1 &amp; rooms&lt;=15) )</t>
  </si>
  <si>
    <t xml:space="preserve">VIVI_003</t>
  </si>
  <si>
    <t xml:space="preserve">req_cooking_fuel_req</t>
  </si>
  <si>
    <t xml:space="preserve">Si la sección «Vivienda y servicios» se abre («consent»='yes'), «Combustible para cocinar» debe responderse.</t>
  </si>
  <si>
    <t xml:space="preserve">cooking_fuel</t>
  </si>
  <si>
    <t xml:space="preserve">Combustible para cocinar</t>
  </si>
  <si>
    <t xml:space="preserve">req_cooking_fuel_req &lt;- ( ((consent=='yes') &amp; (consent=='yes')) &amp; (is.na(cooking_fuel) | trimws(cooking_fuel) == "") )</t>
  </si>
  <si>
    <t xml:space="preserve">VIVI_004</t>
  </si>
  <si>
    <t xml:space="preserve">req_housing_type_req</t>
  </si>
  <si>
    <t xml:space="preserve">Si la sección «Vivienda y servicios» se abre («consent»='yes'), «Tipo de vivienda» debe responderse.</t>
  </si>
  <si>
    <t xml:space="preserve">housing_type</t>
  </si>
  <si>
    <t xml:space="preserve">Tipo de vivienda</t>
  </si>
  <si>
    <t xml:space="preserve">req_housing_type_req &lt;- ( ((consent=='yes') &amp; (consent=='yes')) &amp; (is.na(housing_type) | trimws(housing_type) == "") )</t>
  </si>
  <si>
    <t xml:space="preserve">VIVI_005</t>
  </si>
  <si>
    <t xml:space="preserve">req_lighting_req</t>
  </si>
  <si>
    <t xml:space="preserve">Si la sección «Vivienda y servicios» se abre («consent»='yes'), «Iluminación» debe responderse.</t>
  </si>
  <si>
    <t xml:space="preserve">lighting</t>
  </si>
  <si>
    <t xml:space="preserve">Iluminación</t>
  </si>
  <si>
    <t xml:space="preserve">req_lighting_req &lt;- ( ((consent=='yes') &amp; (consent=='yes')) &amp; (is.na(lighting) | trimws(lighting) == "") )</t>
  </si>
  <si>
    <t xml:space="preserve">VIVI_006</t>
  </si>
  <si>
    <t xml:space="preserve">req_sanitation_req</t>
  </si>
  <si>
    <t xml:space="preserve">Si la sección «Vivienda y servicios» se abre («consent»='yes'), «Saneamiento» debe responderse.</t>
  </si>
  <si>
    <t xml:space="preserve">sanitation</t>
  </si>
  <si>
    <t xml:space="preserve">Saneamiento</t>
  </si>
  <si>
    <t xml:space="preserve">req_sanitation_req &lt;- ( ((consent=='yes') &amp; (consent=='yes')) &amp; (is.na(sanitation) | trimws(sanitation) == "") )</t>
  </si>
  <si>
    <t xml:space="preserve">VIVI_007</t>
  </si>
  <si>
    <t xml:space="preserve">req_tenure_req</t>
  </si>
  <si>
    <t xml:space="preserve">Si la sección «Vivienda y servicios» se abre («consent»='yes'), «Tenencia» debe responderse.</t>
  </si>
  <si>
    <t xml:space="preserve">tenure</t>
  </si>
  <si>
    <t xml:space="preserve">Tenencia</t>
  </si>
  <si>
    <t xml:space="preserve">req_tenure_req &lt;- ( ((consent=='yes') &amp; (consent=='yes')) &amp; (is.na(tenure) | trimws(tenure) == "") )</t>
  </si>
  <si>
    <t xml:space="preserve">VIVI_008</t>
  </si>
  <si>
    <t xml:space="preserve">req_water_source_req</t>
  </si>
  <si>
    <t xml:space="preserve">Si la sección «Vivienda y servicios» se abre («consent»='yes'), «Fuente de agua» debe responderse.</t>
  </si>
  <si>
    <t xml:space="preserve">water_source</t>
  </si>
  <si>
    <t xml:space="preserve">Fuente de agua</t>
  </si>
  <si>
    <t xml:space="preserve">req_water_source_req &lt;- ( ((consent=='yes') &amp; (consent=='yes')) &amp; (is.na(water_source) | trimws(water_source) == "") )</t>
  </si>
  <si>
    <t xml:space="preserve">VIVI_009</t>
  </si>
  <si>
    <t xml:space="preserve">salto_cooking_fuel_debe</t>
  </si>
  <si>
    <t xml:space="preserve">salto_cooking_fuel_debe &lt;- ( ((consent=='yes') &amp; (consent=='yes')) &amp; (is.na(cooking_fuel) | trimws(cooking_fuel) == "") )</t>
  </si>
  <si>
    <t xml:space="preserve">VIVI_010</t>
  </si>
  <si>
    <t xml:space="preserve">salto_cooking_fuel_nodebe</t>
  </si>
  <si>
    <t xml:space="preserve">Si la sección «Vivienda y servicios» se abre («consent»='yes'), «Combustible para cocinar» no debe responderse.</t>
  </si>
  <si>
    <t xml:space="preserve">salto_cooking_fuel_nodebe &lt;- ( !((consent=='yes') &amp; (consent=='yes')) &amp; (!is.na(cooking_fuel) &amp; trimws(cooking_fuel) != "") )</t>
  </si>
  <si>
    <t xml:space="preserve">VIVI_011</t>
  </si>
  <si>
    <t xml:space="preserve">salto_crowding_debe</t>
  </si>
  <si>
    <t xml:space="preserve">Si la sección «Vivienda y servicios» se abre («consent»='yes'), «Personas por cuarto (redondeado)» debe responderse.</t>
  </si>
  <si>
    <t xml:space="preserve">salto_crowding_debe &lt;- ( ((consent=='yes') &amp; (consent=='yes')) &amp; (is.na(crowding) | trimws(crowding) == "") )</t>
  </si>
  <si>
    <t xml:space="preserve">VIVI_012</t>
  </si>
  <si>
    <t xml:space="preserve">salto_crowding_nodebe</t>
  </si>
  <si>
    <t xml:space="preserve">Si la sección «Vivienda y servicios» se abre («consent»='yes'), «Personas por cuarto (redondeado)» no debe responderse.</t>
  </si>
  <si>
    <t xml:space="preserve">salto_crowding_nodebe &lt;- ( !((consent=='yes') &amp; (consent=='yes')) &amp; (!is.na(crowding) &amp; trimws(crowding) != "") )</t>
  </si>
  <si>
    <t xml:space="preserve">VIVI_013</t>
  </si>
  <si>
    <t xml:space="preserve">salto_housing_type_debe</t>
  </si>
  <si>
    <t xml:space="preserve">salto_housing_type_debe &lt;- ( ((consent=='yes') &amp; (consent=='yes')) &amp; (is.na(housing_type) | trimws(housing_type) == "") )</t>
  </si>
  <si>
    <t xml:space="preserve">VIVI_014</t>
  </si>
  <si>
    <t xml:space="preserve">salto_housing_type_nodebe</t>
  </si>
  <si>
    <t xml:space="preserve">Si la sección «Vivienda y servicios» se abre («consent»='yes'), «Tipo de vivienda» no debe responderse.</t>
  </si>
  <si>
    <t xml:space="preserve">salto_housing_type_nodebe &lt;- ( !((consent=='yes') &amp; (consent=='yes')) &amp; (!is.na(housing_type) &amp; trimws(housing_type) != "") )</t>
  </si>
  <si>
    <t xml:space="preserve">VIVI_015</t>
  </si>
  <si>
    <t xml:space="preserve">salto_lighting_debe</t>
  </si>
  <si>
    <t xml:space="preserve">salto_lighting_debe &lt;- ( ((consent=='yes') &amp; (consent=='yes')) &amp; (is.na(lighting) | trimws(lighting) == "") )</t>
  </si>
  <si>
    <t xml:space="preserve">VIVI_016</t>
  </si>
  <si>
    <t xml:space="preserve">salto_lighting_nodebe</t>
  </si>
  <si>
    <t xml:space="preserve">Si la sección «Vivienda y servicios» se abre («consent»='yes'), «Iluminación» no debe responderse.</t>
  </si>
  <si>
    <t xml:space="preserve">salto_lighting_nodebe &lt;- ( !((consent=='yes') &amp; (consent=='yes')) &amp; (!is.na(lighting) &amp; trimws(lighting) != "") )</t>
  </si>
  <si>
    <t xml:space="preserve">VIVI_017</t>
  </si>
  <si>
    <t xml:space="preserve">salto_risk_eviction_debe</t>
  </si>
  <si>
    <t xml:space="preserve">Si la sección «Vivienda y servicios» se abre («consent»='yes') y además («tenure»='rent' o «tenure»='squat'), «¿Riesgo de desalojo?» debe responderse.</t>
  </si>
  <si>
    <t xml:space="preserve">risk_eviction</t>
  </si>
  <si>
    <t xml:space="preserve">¿Riesgo de desalojo?</t>
  </si>
  <si>
    <t xml:space="preserve">salto_risk_eviction_debe &lt;- ( ((consent=='yes') &amp; (tenure=='rent' | tenure=='squat')) &amp; (is.na(risk_eviction) | trimws(risk_eviction) == "") )</t>
  </si>
  <si>
    <t xml:space="preserve">VIVI_018</t>
  </si>
  <si>
    <t xml:space="preserve">salto_risk_eviction_nodebe</t>
  </si>
  <si>
    <t xml:space="preserve">Si la sección «Vivienda y servicios» se abre («consent»='yes') y además («tenure»='rent' o «tenure»='squat'), «¿Riesgo de desalojo?» no debe responderse.</t>
  </si>
  <si>
    <t xml:space="preserve">salto_risk_eviction_nodebe &lt;- ( !((consent=='yes') &amp; (tenure=='rent' | tenure=='squat')) &amp; (!is.na(risk_eviction) &amp; trimws(risk_eviction) != "") )</t>
  </si>
  <si>
    <t xml:space="preserve">VIVI_019</t>
  </si>
  <si>
    <t xml:space="preserve">salto_risk_eviction_reason_debe</t>
  </si>
  <si>
    <t xml:space="preserve">Si la sección «Vivienda y servicios» se abre («consent»='yes') y además («risk_eviction»='yes'), «Motivo del riesgo» debe responderse.</t>
  </si>
  <si>
    <t xml:space="preserve">risk_eviction_reason</t>
  </si>
  <si>
    <t xml:space="preserve">Motivo del riesgo</t>
  </si>
  <si>
    <t xml:space="preserve">salto_risk_eviction_reason_debe &lt;- ( ((consent=='yes') &amp; (risk_eviction=='yes')) &amp; (is.na(risk_eviction_reason) | trimws(risk_eviction_reason) == "") )</t>
  </si>
  <si>
    <t xml:space="preserve">VIVI_020</t>
  </si>
  <si>
    <t xml:space="preserve">salto_risk_eviction_reason_nodebe</t>
  </si>
  <si>
    <t xml:space="preserve">Si la sección «Vivienda y servicios» se abre («consent»='yes') y además («risk_eviction»='yes'), «Motivo del riesgo» no debe responderse.</t>
  </si>
  <si>
    <t xml:space="preserve">salto_risk_eviction_reason_nodebe &lt;- ( !((consent=='yes') &amp; (risk_eviction=='yes')) &amp; (!is.na(risk_eviction_reason) &amp; trimws(risk_eviction_reason) != "") )</t>
  </si>
  <si>
    <t xml:space="preserve">VIVI_021</t>
  </si>
  <si>
    <t xml:space="preserve">salto_rooms_debe</t>
  </si>
  <si>
    <t xml:space="preserve">Si la sección «Vivienda y servicios» se abre («consent»='yes'), «Número de cuartos (sin baño/cocina)» debe responderse.</t>
  </si>
  <si>
    <t xml:space="preserve">salto_rooms_debe &lt;- ( ((consent=='yes') &amp; (consent=='yes')) &amp; (is.na(rooms) | trimws(rooms) == "") )</t>
  </si>
  <si>
    <t xml:space="preserve">VIVI_022</t>
  </si>
  <si>
    <t xml:space="preserve">salto_rooms_nodebe</t>
  </si>
  <si>
    <t xml:space="preserve">Si la sección «Vivienda y servicios» se abre («consent»='yes'), «Número de cuartos (sin baño/cocina)» no debe responderse.</t>
  </si>
  <si>
    <t xml:space="preserve">salto_rooms_nodebe &lt;- ( !((consent=='yes') &amp; (consent=='yes')) &amp; (!is.na(rooms) &amp; trimws(rooms) != "") )</t>
  </si>
  <si>
    <t xml:space="preserve">VIVI_023</t>
  </si>
  <si>
    <t xml:space="preserve">salto_safe_drinking_debe</t>
  </si>
  <si>
    <t xml:space="preserve">Si la sección «Vivienda y servicios» se abre («consent»='yes'), «¿Agua segura?» debe responderse.</t>
  </si>
  <si>
    <t xml:space="preserve">safe_drinking</t>
  </si>
  <si>
    <t xml:space="preserve">¿Agua segura?</t>
  </si>
  <si>
    <t xml:space="preserve">salto_safe_drinking_debe &lt;- ( ((consent=='yes') &amp; (consent=='yes')) &amp; (is.na(safe_drinking) | trimws(safe_drinking) == "") )</t>
  </si>
  <si>
    <t xml:space="preserve">VIVI_024</t>
  </si>
  <si>
    <t xml:space="preserve">salto_safe_drinking_nodebe</t>
  </si>
  <si>
    <t xml:space="preserve">Si la sección «Vivienda y servicios» se abre («consent»='yes'), «¿Agua segura?» no debe responderse.</t>
  </si>
  <si>
    <t xml:space="preserve">salto_safe_drinking_nodebe &lt;- ( !((consent=='yes') &amp; (consent=='yes')) &amp; (!is.na(safe_drinking) &amp; trimws(safe_drinking) != "") )</t>
  </si>
  <si>
    <t xml:space="preserve">VIVI_025</t>
  </si>
  <si>
    <t xml:space="preserve">salto_sanitation_debe</t>
  </si>
  <si>
    <t xml:space="preserve">salto_sanitation_debe &lt;- ( ((consent=='yes') &amp; (consent=='yes')) &amp; (is.na(sanitation) | trimws(sanitation) == "") )</t>
  </si>
  <si>
    <t xml:space="preserve">VIVI_026</t>
  </si>
  <si>
    <t xml:space="preserve">salto_sanitation_nodebe</t>
  </si>
  <si>
    <t xml:space="preserve">Si la sección «Vivienda y servicios» se abre («consent»='yes'), «Saneamiento» no debe responderse.</t>
  </si>
  <si>
    <t xml:space="preserve">salto_sanitation_nodebe &lt;- ( !((consent=='yes') &amp; (consent=='yes')) &amp; (!is.na(sanitation) &amp; trimws(sanitation) != "") )</t>
  </si>
  <si>
    <t xml:space="preserve">VIVI_027</t>
  </si>
  <si>
    <t xml:space="preserve">salto_tenure_debe</t>
  </si>
  <si>
    <t xml:space="preserve">salto_tenure_debe &lt;- ( ((consent=='yes') &amp; (consent=='yes')) &amp; (is.na(tenure) | trimws(tenure) == "") )</t>
  </si>
  <si>
    <t xml:space="preserve">VIVI_028</t>
  </si>
  <si>
    <t xml:space="preserve">salto_tenure_nodebe</t>
  </si>
  <si>
    <t xml:space="preserve">Si la sección «Vivienda y servicios» se abre («consent»='yes'), «Tenencia» no debe responderse.</t>
  </si>
  <si>
    <t xml:space="preserve">salto_tenure_nodebe &lt;- ( !((consent=='yes') &amp; (consent=='yes')) &amp; (!is.na(tenure) &amp; trimws(tenure) != "") )</t>
  </si>
  <si>
    <t xml:space="preserve">VIVI_029</t>
  </si>
  <si>
    <t xml:space="preserve">salto_water_source_debe</t>
  </si>
  <si>
    <t xml:space="preserve">salto_water_source_debe &lt;- ( ((consent=='yes') &amp; (consent=='yes')) &amp; (is.na(water_source) | trimws(water_source) == "") )</t>
  </si>
  <si>
    <t xml:space="preserve">VIVI_030</t>
  </si>
  <si>
    <t xml:space="preserve">salto_water_source_nodebe</t>
  </si>
  <si>
    <t xml:space="preserve">Si la sección «Vivienda y servicios» se abre («consent»='yes'), «Fuente de agua» no debe responderse.</t>
  </si>
  <si>
    <t xml:space="preserve">salto_water_source_nodebe &lt;- ( !((consent=='yes') &amp; (consent=='yes')) &amp; (!is.na(water_source) &amp; trimws(water_source) != "") )</t>
  </si>
  <si>
    <t xml:space="preserve">SALU_001</t>
  </si>
  <si>
    <t xml:space="preserve">salud</t>
  </si>
  <si>
    <t xml:space="preserve">salto_chronic_illness_debe</t>
  </si>
  <si>
    <t xml:space="preserve">Si la sección «Salud» se abre («consent»='yes'), «¿Alguien con enfermedad crónica?» debe responderse.</t>
  </si>
  <si>
    <t xml:space="preserve">chronic_illness</t>
  </si>
  <si>
    <t xml:space="preserve">¿Alguien con enfermedad crónica?</t>
  </si>
  <si>
    <t xml:space="preserve">salto_chronic_illness_debe &lt;- ( ((consent=='yes') &amp; (consent=='yes')) &amp; (is.na(chronic_illness) | trimws(chronic_illness) == "") )</t>
  </si>
  <si>
    <t xml:space="preserve">SALU_002</t>
  </si>
  <si>
    <t xml:space="preserve">salto_chronic_illness_nodebe</t>
  </si>
  <si>
    <t xml:space="preserve">Si la sección «Salud» se abre («consent»='yes'), «¿Alguien con enfermedad crónica?» no debe responderse.</t>
  </si>
  <si>
    <t xml:space="preserve">salto_chronic_illness_nodebe &lt;- ( !((consent=='yes') &amp; (consent=='yes')) &amp; (!is.na(chronic_illness) &amp; trimws(chronic_illness) != "") )</t>
  </si>
  <si>
    <t xml:space="preserve">SALU_003</t>
  </si>
  <si>
    <t xml:space="preserve">salto_has_disability_card_debe</t>
  </si>
  <si>
    <t xml:space="preserve">Si la sección «Salud» se abre («consent»='yes') y además (marcó «Alguna discapacidad» en «¿Alguien tiene discapacidad?»), «¿Carné de discapacidad?» debe responderse.</t>
  </si>
  <si>
    <t xml:space="preserve">has_disability_card</t>
  </si>
  <si>
    <t xml:space="preserve">¿Carné de discapacidad?</t>
  </si>
  <si>
    <t xml:space="preserve">salto_has_disability_card_debe &lt;- ( ((consent=='yes') &amp; (grepl("(^|\s)disab_any(\s|$)", hh_disability, perl = TRUE))) &amp; (is.na(has_disability_card) | trimws(has_disability_card) == "") )</t>
  </si>
  <si>
    <t xml:space="preserve">SALU_004</t>
  </si>
  <si>
    <t xml:space="preserve">salto_has_disability_card_nodebe</t>
  </si>
  <si>
    <t xml:space="preserve">Si la sección «Salud» se abre («consent»='yes') y además (marcó «Alguna discapacidad» en «¿Alguien tiene discapacidad?»), «¿Carné de discapacidad?» no debe responderse.</t>
  </si>
  <si>
    <t xml:space="preserve">salto_has_disability_card_nodebe &lt;- ( !((consent=='yes') &amp; (grepl("(^|\s)disab_any(\s|$)", hh_disability, perl = TRUE))) &amp; (!is.na(has_disability_card) &amp; trimws(has_disability_card) != "") )</t>
  </si>
  <si>
    <t xml:space="preserve">SALU_005</t>
  </si>
  <si>
    <t xml:space="preserve">salto_health_access_debe</t>
  </si>
  <si>
    <t xml:space="preserve">Si la sección «Salud» se abre («consent»='yes'), «Servicios usados (último mes)» debe responderse.</t>
  </si>
  <si>
    <t xml:space="preserve">health_access</t>
  </si>
  <si>
    <t xml:space="preserve">Servicios usados (último mes)</t>
  </si>
  <si>
    <t xml:space="preserve">salto_health_access_debe &lt;- ( ((consent=='yes') &amp; (consent=='yes')) &amp; (is.na(health_access) | trimws(health_access) == "") )</t>
  </si>
  <si>
    <t xml:space="preserve">SALU_006</t>
  </si>
  <si>
    <t xml:space="preserve">salto_health_access_nodebe</t>
  </si>
  <si>
    <t xml:space="preserve">Si la sección «Salud» se abre («consent»='yes'), «Servicios usados (último mes)» no debe responderse.</t>
  </si>
  <si>
    <t xml:space="preserve">salto_health_access_nodebe &lt;- ( !((consent=='yes') &amp; (consent=='yes')) &amp; (!is.na(health_access) &amp; trimws(health_access) != "") )</t>
  </si>
  <si>
    <t xml:space="preserve">ASIS_001</t>
  </si>
  <si>
    <t xml:space="preserve">asistencia</t>
  </si>
  <si>
    <t xml:space="preserve">cons_asst_cash_amount_form</t>
  </si>
  <si>
    <t xml:space="preserve">Si la sección «Asistencia y protección» se abre («consent»='yes') y además (marcó «cash» en «¿Recibió asistencia?»), «Monto en efectivo (último mes)» respeta la regla del formulario.</t>
  </si>
  <si>
    <t xml:space="preserve">asst_cash_amount</t>
  </si>
  <si>
    <t xml:space="preserve">Monto en efectivo (último mes)</t>
  </si>
  <si>
    <t xml:space="preserve">asst_received</t>
  </si>
  <si>
    <t xml:space="preserve">¿Recibió asistencia?</t>
  </si>
  <si>
    <t xml:space="preserve">cons_asst_cash_amount_form &lt;- ( ((consent=='yes') &amp; (grepl("(^|\s)cash(\s|$)", asst_received, perl = TRUE))) &amp; !(asst_cash_amount&gt;=0 &amp; asst_cash_amount&lt;=15000) )</t>
  </si>
  <si>
    <t xml:space="preserve">ASIS_002</t>
  </si>
  <si>
    <t xml:space="preserve">salto_asst_cash_amount_debe</t>
  </si>
  <si>
    <t xml:space="preserve">Si la sección «Asistencia y protección» se abre («consent»='yes') y además (marcó «Efectivo» en «¿Recibió asistencia?»), «Monto en efectivo (último mes)» debe responderse.</t>
  </si>
  <si>
    <t xml:space="preserve">salto_asst_cash_amount_debe &lt;- ( ((consent=='yes') &amp; (grepl("(^|\s)cash(\s|$)", asst_received, perl = TRUE))) &amp; (is.na(asst_cash_amount) | trimws(asst_cash_amount) == "") )</t>
  </si>
  <si>
    <t xml:space="preserve">ASIS_003</t>
  </si>
  <si>
    <t xml:space="preserve">salto_asst_cash_amount_nodebe</t>
  </si>
  <si>
    <t xml:space="preserve">Si la sección «Asistencia y protección» se abre («consent»='yes') y además (marcó «Efectivo» en «¿Recibió asistencia?»), «Monto en efectivo (último mes)» no debe responderse.</t>
  </si>
  <si>
    <t xml:space="preserve">salto_asst_cash_amount_nodebe &lt;- ( !((consent=='yes') &amp; (grepl("(^|\s)cash(\s|$)", asst_received, perl = TRUE))) &amp; (!is.na(asst_cash_amount) &amp; trimws(asst_cash_amount) != "") )</t>
  </si>
  <si>
    <t xml:space="preserve">ASIS_004</t>
  </si>
  <si>
    <t xml:space="preserve">salto_asst_received_debe</t>
  </si>
  <si>
    <t xml:space="preserve">Si la sección «Asistencia y protección» se abre («consent»='yes'), «¿Recibió asistencia?» debe responderse.</t>
  </si>
  <si>
    <t xml:space="preserve">salto_asst_received_debe &lt;- ( ((consent=='yes') &amp; (consent=='yes')) &amp; (is.na(asst_received) | trimws(asst_received) == "") )</t>
  </si>
  <si>
    <t xml:space="preserve">ASIS_005</t>
  </si>
  <si>
    <t xml:space="preserve">salto_asst_received_nodebe</t>
  </si>
  <si>
    <t xml:space="preserve">Si la sección «Asistencia y protección» se abre («consent»='yes'), «¿Recibió asistencia?» no debe responderse.</t>
  </si>
  <si>
    <t xml:space="preserve">salto_asst_received_nodebe &lt;- ( !((consent=='yes') &amp; (consent=='yes')) &amp; (!is.na(asst_received) &amp; trimws(asst_received) != "") )</t>
  </si>
  <si>
    <t xml:space="preserve">ASIS_006</t>
  </si>
  <si>
    <t xml:space="preserve">salto_prot_notes_debe</t>
  </si>
  <si>
    <t xml:space="preserve">Si la sección «Asistencia y protección» se abre («consent»='yes') y además («prot_risk»='yes'), «Notas de protección (opcional)» debe responderse.</t>
  </si>
  <si>
    <t xml:space="preserve">prot_notes</t>
  </si>
  <si>
    <t xml:space="preserve">Notas de protección (opcional)</t>
  </si>
  <si>
    <t xml:space="preserve">prot_risk</t>
  </si>
  <si>
    <t xml:space="preserve">¿Riesgo de protección reciente?</t>
  </si>
  <si>
    <t xml:space="preserve">salto_prot_notes_debe &lt;- ( ((consent=='yes') &amp; (prot_risk=='yes')) &amp; (is.na(prot_notes) | trimws(prot_notes) == "") )</t>
  </si>
  <si>
    <t xml:space="preserve">ASIS_007</t>
  </si>
  <si>
    <t xml:space="preserve">salto_prot_notes_nodebe</t>
  </si>
  <si>
    <t xml:space="preserve">Si la sección «Asistencia y protección» se abre («consent»='yes') y además («prot_risk»='yes'), «Notas de protección (opcional)» no debe responderse.</t>
  </si>
  <si>
    <t xml:space="preserve">salto_prot_notes_nodebe &lt;- ( !((consent=='yes') &amp; (prot_risk=='yes')) &amp; (!is.na(prot_notes) &amp; trimws(prot_notes) != "") )</t>
  </si>
  <si>
    <t xml:space="preserve">ASIS_008</t>
  </si>
  <si>
    <t xml:space="preserve">salto_prot_risk_debe</t>
  </si>
  <si>
    <t xml:space="preserve">Si la sección «Asistencia y protección» se abre («consent»='yes'), «¿Riesgo de protección reciente?» debe responderse.</t>
  </si>
  <si>
    <t xml:space="preserve">salto_prot_risk_debe &lt;- ( ((consent=='yes') &amp; (consent=='yes')) &amp; (is.na(prot_risk) | trimws(prot_risk) == "") )</t>
  </si>
  <si>
    <t xml:space="preserve">ASIS_009</t>
  </si>
  <si>
    <t xml:space="preserve">salto_prot_risk_nodebe</t>
  </si>
  <si>
    <t xml:space="preserve">Si la sección «Asistencia y protección» se abre («consent»='yes'), «¿Riesgo de protección reciente?» no debe responderse.</t>
  </si>
  <si>
    <t xml:space="preserve">salto_prot_risk_nodebe &lt;- ( !((consent=='yes') &amp; (consent=='yes')) &amp; (!is.na(prot_risk) &amp; trimws(prot_risk) != "") )</t>
  </si>
  <si>
    <t xml:space="preserve">ASIS_010</t>
  </si>
  <si>
    <t xml:space="preserve">salto_prot_type_debe</t>
  </si>
  <si>
    <t xml:space="preserve">Si la sección «Asistencia y protección» se abre («consent»='yes') y además («prot_risk»='yes'), «Tipo de riesgo» debe responderse.</t>
  </si>
  <si>
    <t xml:space="preserve">prot_type</t>
  </si>
  <si>
    <t xml:space="preserve">Tipo de riesgo</t>
  </si>
  <si>
    <t xml:space="preserve">salto_prot_type_debe &lt;- ( ((consent=='yes') &amp; (prot_risk=='yes')) &amp; (is.na(prot_type) | trimws(prot_type) == "") )</t>
  </si>
  <si>
    <t xml:space="preserve">ASIS_011</t>
  </si>
  <si>
    <t xml:space="preserve">salto_prot_type_nodebe</t>
  </si>
  <si>
    <t xml:space="preserve">Si la sección «Asistencia y protección» se abre («consent»='yes') y además («prot_risk»='yes'), «Tipo de riesgo» no debe responderse.</t>
  </si>
  <si>
    <t xml:space="preserve">salto_prot_type_nodebe &lt;- ( !((consent=='yes') &amp; (prot_risk=='yes')) &amp; (!is.na(prot_type) &amp; trimws(prot_type) != "") )</t>
  </si>
  <si>
    <t xml:space="preserve">MEDI_001</t>
  </si>
  <si>
    <t xml:space="preserve">mv</t>
  </si>
  <si>
    <t xml:space="preserve">cons_edu_exp_form</t>
  </si>
  <si>
    <t xml:space="preserve">Si la sección «Medios de vida y gastos» se abre («consent»='yes') y además («any_school_age»='yes'), «Gasto mensual en educación» respeta la regla del formulario.</t>
  </si>
  <si>
    <t xml:space="preserve">edu_exp</t>
  </si>
  <si>
    <t xml:space="preserve">Gasto mensual en educación</t>
  </si>
  <si>
    <t xml:space="preserve">cons_edu_exp_form &lt;- ( ((consent=='yes') &amp; (any_school_age=='yes')) &amp; !(edu_exp&gt;=0 &amp; edu_exp&lt;=2000) )</t>
  </si>
  <si>
    <t xml:space="preserve">MEDI_002</t>
  </si>
  <si>
    <t xml:space="preserve">cons_food_exp_form</t>
  </si>
  <si>
    <t xml:space="preserve">Si la sección «Medios de vida y gastos» se abre («consent»='yes'), «Gasto mensual en alimentos» respeta la regla del formulario.</t>
  </si>
  <si>
    <t xml:space="preserve">food_exp</t>
  </si>
  <si>
    <t xml:space="preserve">Gasto mensual en alimentos</t>
  </si>
  <si>
    <t xml:space="preserve">cons_food_exp_form &lt;- ( ((consent=='yes') &amp; (consent=='yes')) &amp; !(food_exp&gt;=0 &amp; food_exp&lt;=2000) )</t>
  </si>
  <si>
    <t xml:space="preserve">MEDI_003</t>
  </si>
  <si>
    <t xml:space="preserve">cons_health_exp_form</t>
  </si>
  <si>
    <t xml:space="preserve">Si la sección «Medios de vida y gastos» se abre («consent»='yes'), «Gasto mensual en salud» respeta la regla del formulario.</t>
  </si>
  <si>
    <t xml:space="preserve">health_exp</t>
  </si>
  <si>
    <t xml:space="preserve">Gasto mensual en salud</t>
  </si>
  <si>
    <t xml:space="preserve">cons_health_exp_form &lt;- ( ((consent=='yes') &amp; (consent=='yes')) &amp; !(health_exp&gt;=0 &amp; health_exp&lt;=2000) )</t>
  </si>
  <si>
    <t xml:space="preserve">MEDI_004</t>
  </si>
  <si>
    <t xml:space="preserve">cons_rent_exp_form</t>
  </si>
  <si>
    <t xml:space="preserve">Si la sección «Medios de vida y gastos» se abre («consent»='yes') y además («tenure»='rent'), «Gasto mensual en alquiler» respeta la regla del formulario.</t>
  </si>
  <si>
    <t xml:space="preserve">rent_exp</t>
  </si>
  <si>
    <t xml:space="preserve">Gasto mensual en alquiler</t>
  </si>
  <si>
    <t xml:space="preserve">cons_rent_exp_form &lt;- ( ((consent=='yes') &amp; (tenure=='rent')) &amp; !(rent_exp&gt;=0 &amp; rent_exp&lt;=3000) )</t>
  </si>
  <si>
    <t xml:space="preserve">MEDI_005</t>
  </si>
  <si>
    <t xml:space="preserve">cons_trans_exp_form</t>
  </si>
  <si>
    <t xml:space="preserve">Si la sección «Medios de vida y gastos» se abre («consent»='yes'), «Gasto mensual en transporte» respeta la regla del formulario.</t>
  </si>
  <si>
    <t xml:space="preserve">trans_exp</t>
  </si>
  <si>
    <t xml:space="preserve">Gasto mensual en transporte</t>
  </si>
  <si>
    <t xml:space="preserve">cons_trans_exp_form &lt;- ( ((consent=='yes') &amp; (consent=='yes')) &amp; !(trans_exp&gt;=0 &amp; trans_exp&lt;=1500) )</t>
  </si>
  <si>
    <t xml:space="preserve">MEDI_006</t>
  </si>
  <si>
    <t xml:space="preserve">salto_assets_debe</t>
  </si>
  <si>
    <t xml:space="preserve">Si la sección «Medios de vida y gastos» se abre («consent»='yes'), «Activos del hogar» debe responderse.</t>
  </si>
  <si>
    <t xml:space="preserve">assets</t>
  </si>
  <si>
    <t xml:space="preserve">Activos del hogar</t>
  </si>
  <si>
    <t xml:space="preserve">salto_assets_debe &lt;- ( ((consent=='yes') &amp; (consent=='yes')) &amp; (is.na(assets) | trimws(assets) == "") )</t>
  </si>
  <si>
    <t xml:space="preserve">MEDI_007</t>
  </si>
  <si>
    <t xml:space="preserve">salto_assets_nodebe</t>
  </si>
  <si>
    <t xml:space="preserve">Si la sección «Medios de vida y gastos» se abre («consent»='yes'), «Activos del hogar» no debe responderse.</t>
  </si>
  <si>
    <t xml:space="preserve">salto_assets_nodebe &lt;- ( !((consent=='yes') &amp; (consent=='yes')) &amp; (!is.na(assets) &amp; trimws(assets) != "") )</t>
  </si>
  <si>
    <t xml:space="preserve">MEDI_008</t>
  </si>
  <si>
    <t xml:space="preserve">salto_edu_exp_debe</t>
  </si>
  <si>
    <t xml:space="preserve">Si la sección «Medios de vida y gastos» se abre («consent»='yes') y además («any_school_age»='yes'), «Gasto mensual en educación» debe responderse.</t>
  </si>
  <si>
    <t xml:space="preserve">salto_edu_exp_debe &lt;- ( ((consent=='yes') &amp; (any_school_age=='yes')) &amp; (is.na(edu_exp) | trimws(edu_exp) == "") )</t>
  </si>
  <si>
    <t xml:space="preserve">MEDI_009</t>
  </si>
  <si>
    <t xml:space="preserve">salto_edu_exp_nodebe</t>
  </si>
  <si>
    <t xml:space="preserve">Si la sección «Medios de vida y gastos» se abre («consent»='yes') y además («any_school_age»='yes'), «Gasto mensual en educación» no debe responderse.</t>
  </si>
  <si>
    <t xml:space="preserve">salto_edu_exp_nodebe &lt;- ( !((consent=='yes') &amp; (any_school_age=='yes')) &amp; (!is.na(edu_exp) &amp; trimws(edu_exp) != "") )</t>
  </si>
  <si>
    <t xml:space="preserve">MEDI_010</t>
  </si>
  <si>
    <t xml:space="preserve">salto_food_exp_debe</t>
  </si>
  <si>
    <t xml:space="preserve">Si la sección «Medios de vida y gastos» se abre («consent»='yes'), «Gasto mensual en alimentos» debe responderse.</t>
  </si>
  <si>
    <t xml:space="preserve">salto_food_exp_debe &lt;- ( ((consent=='yes') &amp; (consent=='yes')) &amp; (is.na(food_exp) | trimws(food_exp) == "") )</t>
  </si>
  <si>
    <t xml:space="preserve">MEDI_011</t>
  </si>
  <si>
    <t xml:space="preserve">salto_food_exp_nodebe</t>
  </si>
  <si>
    <t xml:space="preserve">Si la sección «Medios de vida y gastos» se abre («consent»='yes'), «Gasto mensual en alimentos» no debe responderse.</t>
  </si>
  <si>
    <t xml:space="preserve">salto_food_exp_nodebe &lt;- ( !((consent=='yes') &amp; (consent=='yes')) &amp; (!is.na(food_exp) &amp; trimws(food_exp) != "") )</t>
  </si>
  <si>
    <t xml:space="preserve">MEDI_012</t>
  </si>
  <si>
    <t xml:space="preserve">salto_has_transport_debe</t>
  </si>
  <si>
    <t xml:space="preserve">Si la sección «Medios de vida y gastos» se abre («consent»='yes'), «¿Tiene medio de transporte?» debe responderse.</t>
  </si>
  <si>
    <t xml:space="preserve">has_transport</t>
  </si>
  <si>
    <t xml:space="preserve">¿Tiene medio de transporte?</t>
  </si>
  <si>
    <t xml:space="preserve">salto_has_transport_debe &lt;- ( ((consent=='yes') &amp; (consent=='yes')) &amp; (is.na(has_transport) | trimws(has_transport) == "") )</t>
  </si>
  <si>
    <t xml:space="preserve">MEDI_013</t>
  </si>
  <si>
    <t xml:space="preserve">salto_has_transport_nodebe</t>
  </si>
  <si>
    <t xml:space="preserve">Si la sección «Medios de vida y gastos» se abre («consent»='yes'), «¿Tiene medio de transporte?» no debe responderse.</t>
  </si>
  <si>
    <t xml:space="preserve">salto_has_transport_nodebe &lt;- ( !((consent=='yes') &amp; (consent=='yes')) &amp; (!is.na(has_transport) &amp; trimws(has_transport) != "") )</t>
  </si>
  <si>
    <t xml:space="preserve">MEDI_014</t>
  </si>
  <si>
    <t xml:space="preserve">salto_health_exp_debe</t>
  </si>
  <si>
    <t xml:space="preserve">Si la sección «Medios de vida y gastos» se abre («consent»='yes'), «Gasto mensual en salud» debe responderse.</t>
  </si>
  <si>
    <t xml:space="preserve">salto_health_exp_debe &lt;- ( ((consent=='yes') &amp; (consent=='yes')) &amp; (is.na(health_exp) | trimws(health_exp) == "") )</t>
  </si>
  <si>
    <t xml:space="preserve">MEDI_015</t>
  </si>
  <si>
    <t xml:space="preserve">salto_health_exp_nodebe</t>
  </si>
  <si>
    <t xml:space="preserve">Si la sección «Medios de vida y gastos» se abre («consent»='yes'), «Gasto mensual en salud» no debe responderse.</t>
  </si>
  <si>
    <t xml:space="preserve">salto_health_exp_nodebe &lt;- ( !((consent=='yes') &amp; (consent=='yes')) &amp; (!is.na(health_exp) &amp; trimws(health_exp) != "") )</t>
  </si>
  <si>
    <t xml:space="preserve">MEDI_016</t>
  </si>
  <si>
    <t xml:space="preserve">salto_main_expense_debe</t>
  </si>
  <si>
    <t xml:space="preserve">Si la sección «Medios de vida y gastos» se abre («consent»='yes'), «Gasto principal del hogar» debe responderse.</t>
  </si>
  <si>
    <t xml:space="preserve">main_expense</t>
  </si>
  <si>
    <t xml:space="preserve">Gasto principal del hogar</t>
  </si>
  <si>
    <t xml:space="preserve">salto_main_expense_debe &lt;- ( ((consent=='yes') &amp; (consent=='yes')) &amp; (is.na(main_expense) | trimws(main_expense) == "") )</t>
  </si>
  <si>
    <t xml:space="preserve">MEDI_017</t>
  </si>
  <si>
    <t xml:space="preserve">salto_main_expense_nodebe</t>
  </si>
  <si>
    <t xml:space="preserve">Si la sección «Medios de vida y gastos» se abre («consent»='yes'), «Gasto principal del hogar» no debe responderse.</t>
  </si>
  <si>
    <t xml:space="preserve">salto_main_expense_nodebe &lt;- ( !((consent=='yes') &amp; (consent=='yes')) &amp; (!is.na(main_expense) &amp; trimws(main_expense) != "") )</t>
  </si>
  <si>
    <t xml:space="preserve">MEDI_018</t>
  </si>
  <si>
    <t xml:space="preserve">salto_main_expense_other_debe</t>
  </si>
  <si>
    <t xml:space="preserve">Si la sección «Medios de vida y gastos» se abre («consent»='yes') y además («main_expense»='other'), «Otro gasto (especifique)» debe responderse.</t>
  </si>
  <si>
    <t xml:space="preserve">main_expense_other</t>
  </si>
  <si>
    <t xml:space="preserve">Otro gasto (especifique)</t>
  </si>
  <si>
    <t xml:space="preserve">salto_main_expense_other_debe &lt;- ( ((consent=='yes') &amp; (main_expense=='other')) &amp; (is.na(main_expense_other) | trimws(main_expense_other) == "") )</t>
  </si>
  <si>
    <t xml:space="preserve">MEDI_019</t>
  </si>
  <si>
    <t xml:space="preserve">salto_main_expense_other_nodebe</t>
  </si>
  <si>
    <t xml:space="preserve">Si la sección «Medios de vida y gastos» se abre («consent»='yes') y además («main_expense»='other'), «Otro gasto (especifique)» no debe responderse.</t>
  </si>
  <si>
    <t xml:space="preserve">salto_main_expense_other_nodebe &lt;- ( !((consent=='yes') &amp; (main_expense=='other')) &amp; (!is.na(main_expense_other) &amp; trimws(main_expense_other) != "") )</t>
  </si>
  <si>
    <t xml:space="preserve">MEDI_020</t>
  </si>
  <si>
    <t xml:space="preserve">salto_rent_exp_debe</t>
  </si>
  <si>
    <t xml:space="preserve">Si la sección «Medios de vida y gastos» se abre («consent»='yes') y además («tenure»='rent'), «Gasto mensual en alquiler» debe responderse.</t>
  </si>
  <si>
    <t xml:space="preserve">salto_rent_exp_debe &lt;- ( ((consent=='yes') &amp; (tenure=='rent')) &amp; (is.na(rent_exp) | trimws(rent_exp) == "") )</t>
  </si>
  <si>
    <t xml:space="preserve">MEDI_021</t>
  </si>
  <si>
    <t xml:space="preserve">salto_rent_exp_nodebe</t>
  </si>
  <si>
    <t xml:space="preserve">Si la sección «Medios de vida y gastos» se abre («consent»='yes') y además («tenure»='rent'), «Gasto mensual en alquiler» no debe responderse.</t>
  </si>
  <si>
    <t xml:space="preserve">salto_rent_exp_nodebe &lt;- ( !((consent=='yes') &amp; (tenure=='rent')) &amp; (!is.na(rent_exp) &amp; trimws(rent_exp) != "") )</t>
  </si>
  <si>
    <t xml:space="preserve">MEDI_022</t>
  </si>
  <si>
    <t xml:space="preserve">salto_trans_exp_debe</t>
  </si>
  <si>
    <t xml:space="preserve">Si la sección «Medios de vida y gastos» se abre («consent»='yes'), «Gasto mensual en transporte» debe responderse.</t>
  </si>
  <si>
    <t xml:space="preserve">salto_trans_exp_debe &lt;- ( ((consent=='yes') &amp; (consent=='yes')) &amp; (is.na(trans_exp) | trimws(trans_exp) == "") )</t>
  </si>
  <si>
    <t xml:space="preserve">MEDI_023</t>
  </si>
  <si>
    <t xml:space="preserve">salto_trans_exp_nodebe</t>
  </si>
  <si>
    <t xml:space="preserve">Si la sección «Medios de vida y gastos» se abre («consent»='yes'), «Gasto mensual en transporte» no debe responderse.</t>
  </si>
  <si>
    <t xml:space="preserve">salto_trans_exp_nodebe &lt;- ( !((consent=='yes') &amp; (consent=='yes')) &amp; (!is.na(trans_exp) &amp; trimws(trans_exp) != "") )</t>
  </si>
  <si>
    <t xml:space="preserve">MEDI_024</t>
  </si>
  <si>
    <t xml:space="preserve">salto_transport_type_debe</t>
  </si>
  <si>
    <t xml:space="preserve">Si la sección «Medios de vida y gastos» se abre («consent»='yes') y además («has_transport»='yes'), «Tipo de transporte» debe responderse.</t>
  </si>
  <si>
    <t xml:space="preserve">transport_type</t>
  </si>
  <si>
    <t xml:space="preserve">Tipo de transporte</t>
  </si>
  <si>
    <t xml:space="preserve">salto_transport_type_debe &lt;- ( ((consent=='yes') &amp; (has_transport=='yes')) &amp; (is.na(transport_type) | trimws(transport_type) == "") )</t>
  </si>
  <si>
    <t xml:space="preserve">MEDI_025</t>
  </si>
  <si>
    <t xml:space="preserve">salto_transport_type_nodebe</t>
  </si>
  <si>
    <t xml:space="preserve">Si la sección «Medios de vida y gastos» se abre («consent»='yes') y además («has_transport»='yes'), «Tipo de transporte» no debe responderse.</t>
  </si>
  <si>
    <t xml:space="preserve">salto_transport_type_nodebe &lt;- ( !((consent=='yes') &amp; (has_transport=='yes')) &amp; (!is.na(transport_type) &amp; trimws(transport_type) != "") )</t>
  </si>
  <si>
    <t xml:space="preserve">PERC_001</t>
  </si>
  <si>
    <t xml:space="preserve">percepcion</t>
  </si>
  <si>
    <t xml:space="preserve">req_satisf_safety_req</t>
  </si>
  <si>
    <t xml:space="preserve">Si la sección «Percepción y necesidades» se abre («consent»='yes'), «Sensación de seguridad» debe responderse.</t>
  </si>
  <si>
    <t xml:space="preserve">satisf_safety</t>
  </si>
  <si>
    <t xml:space="preserve">Sensación de seguridad</t>
  </si>
  <si>
    <t xml:space="preserve">req_satisf_safety_req &lt;- ( ((consent=='yes') &amp; (consent=='yes')) &amp; (is.na(satisf_safety) | trimws(satisf_safety) == "") )</t>
  </si>
  <si>
    <t xml:space="preserve">PERC_002</t>
  </si>
  <si>
    <t xml:space="preserve">req_satisf_services_req</t>
  </si>
  <si>
    <t xml:space="preserve">Si la sección «Percepción y necesidades» se abre («consent»='yes'), «Satisfacción con servicios básicos» debe responderse.</t>
  </si>
  <si>
    <t xml:space="preserve">satisf_services</t>
  </si>
  <si>
    <t xml:space="preserve">Satisfacción con servicios básicos</t>
  </si>
  <si>
    <t xml:space="preserve">req_satisf_services_req &lt;- ( ((consent=='yes') &amp; (consent=='yes')) &amp; (is.na(satisf_services) | trimws(satisf_services) == "") )</t>
  </si>
  <si>
    <t xml:space="preserve">PERC_003</t>
  </si>
  <si>
    <t xml:space="preserve">salto_other_needs_debe</t>
  </si>
  <si>
    <t xml:space="preserve">Si la sección «Percepción y necesidades» se abre («consent»='yes'), «Otras necesidades (opcional)» debe responderse.</t>
  </si>
  <si>
    <t xml:space="preserve">other_needs</t>
  </si>
  <si>
    <t xml:space="preserve">Otras necesidades (opcional)</t>
  </si>
  <si>
    <t xml:space="preserve">salto_other_needs_debe &lt;- ( ((consent=='yes') &amp; (consent=='yes')) &amp; (is.na(other_needs) | trimws(other_needs) == "") )</t>
  </si>
  <si>
    <t xml:space="preserve">PERC_004</t>
  </si>
  <si>
    <t xml:space="preserve">salto_other_needs_nodebe</t>
  </si>
  <si>
    <t xml:space="preserve">Si la sección «Percepción y necesidades» se abre («consent»='yes'), «Otras necesidades (opcional)» no debe responderse.</t>
  </si>
  <si>
    <t xml:space="preserve">salto_other_needs_nodebe &lt;- ( !((consent=='yes') &amp; (consent=='yes')) &amp; (!is.na(other_needs) &amp; trimws(other_needs) != "") )</t>
  </si>
  <si>
    <t xml:space="preserve">PERC_005</t>
  </si>
  <si>
    <t xml:space="preserve">salto_priority_needs_debe</t>
  </si>
  <si>
    <t xml:space="preserve">Si la sección «Percepción y necesidades» se abre («consent»='yes'), «Necesidades prioritarias» debe responderse.</t>
  </si>
  <si>
    <t xml:space="preserve">priority_needs</t>
  </si>
  <si>
    <t xml:space="preserve">Necesidades prioritarias</t>
  </si>
  <si>
    <t xml:space="preserve">salto_priority_needs_debe &lt;- ( ((consent=='yes') &amp; (consent=='yes')) &amp; (is.na(priority_needs) | trimws(priority_needs) == "") )</t>
  </si>
  <si>
    <t xml:space="preserve">PERC_006</t>
  </si>
  <si>
    <t xml:space="preserve">salto_priority_needs_nodebe</t>
  </si>
  <si>
    <t xml:space="preserve">Si la sección «Percepción y necesidades» se abre («consent»='yes'), «Necesidades prioritarias» no debe responderse.</t>
  </si>
  <si>
    <t xml:space="preserve">salto_priority_needs_nodebe &lt;- ( !((consent=='yes') &amp; (consent=='yes')) &amp; (!is.na(priority_needs) &amp; trimws(priority_needs) != "") )</t>
  </si>
  <si>
    <t xml:space="preserve">PERC_007</t>
  </si>
  <si>
    <t xml:space="preserve">salto_satisf_safety_debe</t>
  </si>
  <si>
    <t xml:space="preserve">salto_satisf_safety_debe &lt;- ( ((consent=='yes') &amp; (consent=='yes')) &amp; (is.na(satisf_safety) | trimws(satisf_safety) == "") )</t>
  </si>
  <si>
    <t xml:space="preserve">PERC_008</t>
  </si>
  <si>
    <t xml:space="preserve">salto_satisf_safety_nodebe</t>
  </si>
  <si>
    <t xml:space="preserve">Si la sección «Percepción y necesidades» se abre («consent»='yes'), «Sensación de seguridad» no debe responderse.</t>
  </si>
  <si>
    <t xml:space="preserve">salto_satisf_safety_nodebe &lt;- ( !((consent=='yes') &amp; (consent=='yes')) &amp; (!is.na(satisf_safety) &amp; trimws(satisf_safety) != "") )</t>
  </si>
  <si>
    <t xml:space="preserve">PERC_009</t>
  </si>
  <si>
    <t xml:space="preserve">salto_satisf_services_debe</t>
  </si>
  <si>
    <t xml:space="preserve">salto_satisf_services_debe &lt;- ( ((consent=='yes') &amp; (consent=='yes')) &amp; (is.na(satisf_services) | trimws(satisf_services) == "") )</t>
  </si>
  <si>
    <t xml:space="preserve">PERC_010</t>
  </si>
  <si>
    <t xml:space="preserve">salto_satisf_services_nodebe</t>
  </si>
  <si>
    <t xml:space="preserve">Si la sección «Percepción y necesidades» se abre («consent»='yes'), «Satisfacción con servicios básicos» no debe responderse.</t>
  </si>
  <si>
    <t xml:space="preserve">salto_satisf_services_nodebe &lt;- ( !((consent=='yes') &amp; (consent=='yes')) &amp; (!is.na(satisf_services) &amp; trimws(satisf_services) != "") )</t>
  </si>
  <si>
    <t xml:space="preserve">n_reglas</t>
  </si>
  <si>
    <t xml:space="preserve">group_name</t>
  </si>
  <si>
    <t xml:space="preserve">group_label</t>
  </si>
  <si>
    <t xml:space="preserve">prefix</t>
  </si>
  <si>
    <t xml:space="preserve">Introducción y Consentimiento</t>
  </si>
  <si>
    <t xml:space="preserve">INTR_</t>
  </si>
  <si>
    <t xml:space="preserve">Ubicación administrativa</t>
  </si>
  <si>
    <t xml:space="preserve">UBIC_</t>
  </si>
  <si>
    <t xml:space="preserve">Hogar y Demografía</t>
  </si>
  <si>
    <t xml:space="preserve">HOGA_</t>
  </si>
  <si>
    <t xml:space="preserve">Educación</t>
  </si>
  <si>
    <t xml:space="preserve">EDUC_</t>
  </si>
  <si>
    <t xml:space="preserve">Empleo e ingresos</t>
  </si>
  <si>
    <t xml:space="preserve">EMPL_</t>
  </si>
  <si>
    <t xml:space="preserve">Vivienda y servicios</t>
  </si>
  <si>
    <t xml:space="preserve">VIVI_</t>
  </si>
  <si>
    <t xml:space="preserve">Salud</t>
  </si>
  <si>
    <t xml:space="preserve">SALU_</t>
  </si>
  <si>
    <t xml:space="preserve">Asistencia y protección</t>
  </si>
  <si>
    <t xml:space="preserve">ASIS_</t>
  </si>
  <si>
    <t xml:space="preserve">Medios de vida y gastos</t>
  </si>
  <si>
    <t xml:space="preserve">MEDI_</t>
  </si>
  <si>
    <t xml:space="preserve">Percepción y necesidades</t>
  </si>
  <si>
    <t xml:space="preserve">PERC_</t>
  </si>
  <si>
    <t xml:space="preserve">name</t>
  </si>
  <si>
    <t xml:space="preserve">label</t>
  </si>
  <si>
    <t xml:space="preserve">type</t>
  </si>
  <si>
    <t xml:space="preserve">type_base</t>
  </si>
  <si>
    <t xml:space="preserve">required</t>
  </si>
  <si>
    <t xml:space="preserve">relevant</t>
  </si>
  <si>
    <t xml:space="preserve">constraint</t>
  </si>
  <si>
    <t xml:space="preserve">calculation</t>
  </si>
  <si>
    <t xml:space="preserve">appearance</t>
  </si>
  <si>
    <t xml:space="preserve">choice_filter</t>
  </si>
  <si>
    <t xml:space="preserve">begin_group</t>
  </si>
  <si>
    <t xml:space="preserve"/>
  </si>
  <si>
    <t xml:space="preserve">select_one yesno</t>
  </si>
  <si>
    <t xml:space="preserve">true</t>
  </si>
  <si>
    <t xml:space="preserve">${consent}='yes'</t>
  </si>
  <si>
    <t xml:space="preserve">gps</t>
  </si>
  <si>
    <t xml:space="preserve">Ubicación GPS</t>
  </si>
  <si>
    <t xml:space="preserve">geopoint</t>
  </si>
  <si>
    <t xml:space="preserve">select_one mode</t>
  </si>
  <si>
    <t xml:space="preserve">consent_note</t>
  </si>
  <si>
    <t xml:space="preserve">Gracias. Continuamos con preguntas generales.</t>
  </si>
  <si>
    <t xml:space="preserve">note</t>
  </si>
  <si>
    <t xml:space="preserve">end_intro</t>
  </si>
  <si>
    <t xml:space="preserve">end_group</t>
  </si>
  <si>
    <t xml:space="preserve">select_one country</t>
  </si>
  <si>
    <t xml:space="preserve">select_one region</t>
  </si>
  <si>
    <t xml:space="preserve">country_code = ${country}</t>
  </si>
  <si>
    <t xml:space="preserve">select_one province</t>
  </si>
  <si>
    <t xml:space="preserve">region_code = ${region}</t>
  </si>
  <si>
    <t xml:space="preserve">select_one district</t>
  </si>
  <si>
    <t xml:space="preserve">province_code = ${province}</t>
  </si>
  <si>
    <t xml:space="preserve">end_ubicacion</t>
  </si>
  <si>
    <t xml:space="preserve">.&gt;=1 and .&lt;=20</t>
  </si>
  <si>
    <t xml:space="preserve">select_one sexo</t>
  </si>
  <si>
    <t xml:space="preserve">.&gt;=15 and .&lt;=99</t>
  </si>
  <si>
    <t xml:space="preserve">select_one marital_status</t>
  </si>
  <si>
    <t xml:space="preserve">select_one educ_level</t>
  </si>
  <si>
    <t xml:space="preserve">select_multiple disability</t>
  </si>
  <si>
    <t xml:space="preserve">${hh_has_children}='yes'</t>
  </si>
  <si>
    <t xml:space="preserve">.&gt;=0 and .&lt;=15</t>
  </si>
  <si>
    <t xml:space="preserve">${has_elderly}='yes'</t>
  </si>
  <si>
    <t xml:space="preserve">.&gt;=0 and .&lt;=10</t>
  </si>
  <si>
    <t xml:space="preserve">end_hogar</t>
  </si>
  <si>
    <t xml:space="preserve">${any_school_age}='yes'</t>
  </si>
  <si>
    <t xml:space="preserve">select_multiple barriers</t>
  </si>
  <si>
    <t xml:space="preserve">${any_school_age}='yes' and ${all_in_school}='no'</t>
  </si>
  <si>
    <t xml:space="preserve">${has_dropout}='yes'</t>
  </si>
  <si>
    <t xml:space="preserve">multiline</t>
  </si>
  <si>
    <t xml:space="preserve">end_educ</t>
  </si>
  <si>
    <t xml:space="preserve">${consent}='yes' and ${country}='PE'</t>
  </si>
  <si>
    <t xml:space="preserve">select_one employment_status</t>
  </si>
  <si>
    <t xml:space="preserve">select_multiple income_sources</t>
  </si>
  <si>
    <t xml:space="preserve">.&gt;=0 and .&lt;=30000</t>
  </si>
  <si>
    <t xml:space="preserve">select_multiple shock_types</t>
  </si>
  <si>
    <t xml:space="preserve">${income_shock}='yes'</t>
  </si>
  <si>
    <t xml:space="preserve">end_empleo</t>
  </si>
  <si>
    <t xml:space="preserve">select_one housing_type</t>
  </si>
  <si>
    <t xml:space="preserve">select_one tenure</t>
  </si>
  <si>
    <t xml:space="preserve">select_one water_source</t>
  </si>
  <si>
    <t xml:space="preserve">select_one sanitation</t>
  </si>
  <si>
    <t xml:space="preserve">select_one lighting</t>
  </si>
  <si>
    <t xml:space="preserve">select_one cooking_fuel</t>
  </si>
  <si>
    <t xml:space="preserve">.&gt;=1 and .&lt;=15</t>
  </si>
  <si>
    <t xml:space="preserve">${tenure}='rent' or ${tenure}='squat'</t>
  </si>
  <si>
    <t xml:space="preserve">${risk_eviction}='yes'</t>
  </si>
  <si>
    <t xml:space="preserve">end_vivienda</t>
  </si>
  <si>
    <t xml:space="preserve">select_multiple health_services</t>
  </si>
  <si>
    <t xml:space="preserve">selected(${hh_disability}, 'disab_any')</t>
  </si>
  <si>
    <t xml:space="preserve">end_salud</t>
  </si>
  <si>
    <t xml:space="preserve">select_multiple asst_types</t>
  </si>
  <si>
    <t xml:space="preserve">selected(${asst_received}, 'cash')</t>
  </si>
  <si>
    <t xml:space="preserve">.&gt;=0 and .&lt;=15000</t>
  </si>
  <si>
    <t xml:space="preserve">select_one prot_type</t>
  </si>
  <si>
    <t xml:space="preserve">${prot_risk}='yes'</t>
  </si>
  <si>
    <t xml:space="preserve">end_asistencia</t>
  </si>
  <si>
    <t xml:space="preserve">select_multiple assets</t>
  </si>
  <si>
    <t xml:space="preserve">select_one transport</t>
  </si>
  <si>
    <t xml:space="preserve">${has_transport}='yes'</t>
  </si>
  <si>
    <t xml:space="preserve">select_one exp_cat</t>
  </si>
  <si>
    <t xml:space="preserve">${main_expense}='other'</t>
  </si>
  <si>
    <t xml:space="preserve">.&gt;=0 and .&lt;=2000</t>
  </si>
  <si>
    <t xml:space="preserve">${tenure}='rent'</t>
  </si>
  <si>
    <t xml:space="preserve">.&gt;=0 and .&lt;=3000</t>
  </si>
  <si>
    <t xml:space="preserve">.&gt;=0 and .&lt;=1500</t>
  </si>
  <si>
    <t xml:space="preserve">end_mv</t>
  </si>
  <si>
    <t xml:space="preserve">select_one likert5</t>
  </si>
  <si>
    <t xml:space="preserve">select_multiple priority_needs</t>
  </si>
  <si>
    <t xml:space="preserve">end_percepcion</t>
  </si>
  <si>
    <t xml:space="preserve">list_name</t>
  </si>
  <si>
    <t xml:space="preserve">yesno</t>
  </si>
  <si>
    <t xml:space="preserve">yes</t>
  </si>
  <si>
    <t xml:space="preserve">Sí</t>
  </si>
  <si>
    <t xml:space="preserve">no</t>
  </si>
  <si>
    <t xml:space="preserve">No</t>
  </si>
  <si>
    <t xml:space="preserve">mode</t>
  </si>
  <si>
    <t xml:space="preserve">hh</t>
  </si>
  <si>
    <t xml:space="preserve">Presencial - hogar</t>
  </si>
  <si>
    <t xml:space="preserve">oth</t>
  </si>
  <si>
    <t xml:space="preserve">Presencial - otro</t>
  </si>
  <si>
    <t xml:space="preserve">tel</t>
  </si>
  <si>
    <t xml:space="preserve">Telefónica</t>
  </si>
  <si>
    <t xml:space="preserve">othr</t>
  </si>
  <si>
    <t xml:space="preserve">Otro</t>
  </si>
  <si>
    <t xml:space="preserve">sexo</t>
  </si>
  <si>
    <t xml:space="preserve">male</t>
  </si>
  <si>
    <t xml:space="preserve">Hombre</t>
  </si>
  <si>
    <t xml:space="preserve">female</t>
  </si>
  <si>
    <t xml:space="preserve">Mujer</t>
  </si>
  <si>
    <t xml:space="preserve">other</t>
  </si>
  <si>
    <t xml:space="preserve">marital_status</t>
  </si>
  <si>
    <t xml:space="preserve">single</t>
  </si>
  <si>
    <t xml:space="preserve">Soltero/a</t>
  </si>
  <si>
    <t xml:space="preserve">married</t>
  </si>
  <si>
    <t xml:space="preserve">Casado/a</t>
  </si>
  <si>
    <t xml:space="preserve">cohab</t>
  </si>
  <si>
    <t xml:space="preserve">Conviviente</t>
  </si>
  <si>
    <t xml:space="preserve">sep</t>
  </si>
  <si>
    <t xml:space="preserve">Separado/a</t>
  </si>
  <si>
    <t xml:space="preserve">widowed</t>
  </si>
  <si>
    <t xml:space="preserve">Viudo/a</t>
  </si>
  <si>
    <t xml:space="preserve">educ_level</t>
  </si>
  <si>
    <t xml:space="preserve">none</t>
  </si>
  <si>
    <t xml:space="preserve">Sin nivel</t>
  </si>
  <si>
    <t xml:space="preserve">prim</t>
  </si>
  <si>
    <t xml:space="preserve">Primaria</t>
  </si>
  <si>
    <t xml:space="preserve">sec</t>
  </si>
  <si>
    <t xml:space="preserve">Secundaria</t>
  </si>
  <si>
    <t xml:space="preserve">tech</t>
  </si>
  <si>
    <t xml:space="preserve">Técnico</t>
  </si>
  <si>
    <t xml:space="preserve">uni</t>
  </si>
  <si>
    <t xml:space="preserve">Universitario</t>
  </si>
  <si>
    <t xml:space="preserve">disability</t>
  </si>
  <si>
    <t xml:space="preserve">disab_any</t>
  </si>
  <si>
    <t xml:space="preserve">Alguna discapacidad</t>
  </si>
  <si>
    <t xml:space="preserve">visual</t>
  </si>
  <si>
    <t xml:space="preserve">Visual</t>
  </si>
  <si>
    <t xml:space="preserve">hearing</t>
  </si>
  <si>
    <t xml:space="preserve">Auditiva</t>
  </si>
  <si>
    <t xml:space="preserve">mobility</t>
  </si>
  <si>
    <t xml:space="preserve">Motora</t>
  </si>
  <si>
    <t xml:space="preserve">cognitive</t>
  </si>
  <si>
    <t xml:space="preserve">Cognitiva</t>
  </si>
  <si>
    <t xml:space="preserve">barriers</t>
  </si>
  <si>
    <t xml:space="preserve">cost</t>
  </si>
  <si>
    <t xml:space="preserve">Costo</t>
  </si>
  <si>
    <t xml:space="preserve">distance</t>
  </si>
  <si>
    <t xml:space="preserve">Distancia</t>
  </si>
  <si>
    <t xml:space="preserve">docs</t>
  </si>
  <si>
    <t xml:space="preserve">Falta de documentos</t>
  </si>
  <si>
    <t xml:space="preserve">Accesibilidad</t>
  </si>
  <si>
    <t xml:space="preserve">employment_status</t>
  </si>
  <si>
    <t xml:space="preserve">employed</t>
  </si>
  <si>
    <t xml:space="preserve">Ocupado/a</t>
  </si>
  <si>
    <t xml:space="preserve">unemployed</t>
  </si>
  <si>
    <t xml:space="preserve">Desempleado/a</t>
  </si>
  <si>
    <t xml:space="preserve">inactive</t>
  </si>
  <si>
    <t xml:space="preserve">Inactivo/a</t>
  </si>
  <si>
    <t xml:space="preserve">student</t>
  </si>
  <si>
    <t xml:space="preserve">Estudiante</t>
  </si>
  <si>
    <t xml:space="preserve">retired</t>
  </si>
  <si>
    <t xml:space="preserve">Jubilado/a</t>
  </si>
  <si>
    <t xml:space="preserve">wages</t>
  </si>
  <si>
    <t xml:space="preserve">Salarios</t>
  </si>
  <si>
    <t xml:space="preserve">selfemp</t>
  </si>
  <si>
    <t xml:space="preserve">Autoempleo</t>
  </si>
  <si>
    <t xml:space="preserve">agri</t>
  </si>
  <si>
    <t xml:space="preserve">Agricultura</t>
  </si>
  <si>
    <t xml:space="preserve">remit</t>
  </si>
  <si>
    <t xml:space="preserve">Remesas</t>
  </si>
  <si>
    <t xml:space="preserve">aid</t>
  </si>
  <si>
    <t xml:space="preserve">Ayuda</t>
  </si>
  <si>
    <t xml:space="preserve">pension</t>
  </si>
  <si>
    <t xml:space="preserve">Pensión</t>
  </si>
  <si>
    <t xml:space="preserve">house</t>
  </si>
  <si>
    <t xml:space="preserve">Casa</t>
  </si>
  <si>
    <t xml:space="preserve">apartment</t>
  </si>
  <si>
    <t xml:space="preserve">Departamento</t>
  </si>
  <si>
    <t xml:space="preserve">room</t>
  </si>
  <si>
    <t xml:space="preserve">Cuarto</t>
  </si>
  <si>
    <t xml:space="preserve">collective</t>
  </si>
  <si>
    <t xml:space="preserve">Colectiva</t>
  </si>
  <si>
    <t xml:space="preserve">owner</t>
  </si>
  <si>
    <t xml:space="preserve">Propietario/a</t>
  </si>
  <si>
    <t xml:space="preserve">rent</t>
  </si>
  <si>
    <t xml:space="preserve">Alquiler</t>
  </si>
  <si>
    <t xml:space="preserve">hosted</t>
  </si>
  <si>
    <t xml:space="preserve">Alojado/a</t>
  </si>
  <si>
    <t xml:space="preserve">squat</t>
  </si>
  <si>
    <t xml:space="preserve">Ocupación</t>
  </si>
  <si>
    <t xml:space="preserve">piped</t>
  </si>
  <si>
    <t xml:space="preserve">Red pública</t>
  </si>
  <si>
    <t xml:space="preserve">well</t>
  </si>
  <si>
    <t xml:space="preserve">Pozo</t>
  </si>
  <si>
    <t xml:space="preserve">tanker</t>
  </si>
  <si>
    <t xml:space="preserve">Camión cisterna</t>
  </si>
  <si>
    <t xml:space="preserve">bottled</t>
  </si>
  <si>
    <t xml:space="preserve">Embotellada</t>
  </si>
  <si>
    <t xml:space="preserve">sewer</t>
  </si>
  <si>
    <t xml:space="preserve">Alcantarillado</t>
  </si>
  <si>
    <t xml:space="preserve">septic</t>
  </si>
  <si>
    <t xml:space="preserve">Fosa séptica</t>
  </si>
  <si>
    <t xml:space="preserve">pit</t>
  </si>
  <si>
    <t xml:space="preserve">Letrina</t>
  </si>
  <si>
    <t xml:space="preserve">Ninguno</t>
  </si>
  <si>
    <t xml:space="preserve">grid</t>
  </si>
  <si>
    <t xml:space="preserve">Red eléctrica</t>
  </si>
  <si>
    <t xml:space="preserve">solar</t>
  </si>
  <si>
    <t xml:space="preserve">Solar</t>
  </si>
  <si>
    <t xml:space="preserve">generator</t>
  </si>
  <si>
    <t xml:space="preserve">Generador</t>
  </si>
  <si>
    <t xml:space="preserve">gas</t>
  </si>
  <si>
    <t xml:space="preserve">Gas</t>
  </si>
  <si>
    <t xml:space="preserve">elec</t>
  </si>
  <si>
    <t xml:space="preserve">Eléctrico</t>
  </si>
  <si>
    <t xml:space="preserve">wood</t>
  </si>
  <si>
    <t xml:space="preserve">Leña</t>
  </si>
  <si>
    <t xml:space="preserve">coal</t>
  </si>
  <si>
    <t xml:space="preserve">Carbón</t>
  </si>
  <si>
    <t xml:space="preserve">health_services</t>
  </si>
  <si>
    <t xml:space="preserve">clinic</t>
  </si>
  <si>
    <t xml:space="preserve">Puesto/centro de salud</t>
  </si>
  <si>
    <t xml:space="preserve">hospital</t>
  </si>
  <si>
    <t xml:space="preserve">Hospital</t>
  </si>
  <si>
    <t xml:space="preserve">pharmacy</t>
  </si>
  <si>
    <t xml:space="preserve">Farmacia</t>
  </si>
  <si>
    <t xml:space="preserve">ngo</t>
  </si>
  <si>
    <t xml:space="preserve">ONG</t>
  </si>
  <si>
    <t xml:space="preserve">asst_types</t>
  </si>
  <si>
    <t xml:space="preserve">cash</t>
  </si>
  <si>
    <t xml:space="preserve">Efectivo</t>
  </si>
  <si>
    <t xml:space="preserve">shelter</t>
  </si>
  <si>
    <t xml:space="preserve">Alojamiento</t>
  </si>
  <si>
    <t xml:space="preserve">food</t>
  </si>
  <si>
    <t xml:space="preserve">Alimentos</t>
  </si>
  <si>
    <t xml:space="preserve">health</t>
  </si>
  <si>
    <t xml:space="preserve">education</t>
  </si>
  <si>
    <t xml:space="preserve">gbv</t>
  </si>
  <si>
    <t xml:space="preserve">Violencia basada en género</t>
  </si>
  <si>
    <t xml:space="preserve">cp</t>
  </si>
  <si>
    <t xml:space="preserve">Protección a la niñez</t>
  </si>
  <si>
    <t xml:space="preserve">legal</t>
  </si>
  <si>
    <t xml:space="preserve">Legal</t>
  </si>
  <si>
    <t xml:space="preserve">safety</t>
  </si>
  <si>
    <t xml:space="preserve">Seguridad</t>
  </si>
  <si>
    <t xml:space="preserve">tv</t>
  </si>
  <si>
    <t xml:space="preserve">TV</t>
  </si>
  <si>
    <t xml:space="preserve">fridge</t>
  </si>
  <si>
    <t xml:space="preserve">Refrigeradora</t>
  </si>
  <si>
    <t xml:space="preserve">radio</t>
  </si>
  <si>
    <t xml:space="preserve">Radio</t>
  </si>
  <si>
    <t xml:space="preserve">phone</t>
  </si>
  <si>
    <t xml:space="preserve">Celular</t>
  </si>
  <si>
    <t xml:space="preserve">pc</t>
  </si>
  <si>
    <t xml:space="preserve">Computadora</t>
  </si>
  <si>
    <t xml:space="preserve">bike</t>
  </si>
  <si>
    <t xml:space="preserve">Bicicleta</t>
  </si>
  <si>
    <t xml:space="preserve">moto</t>
  </si>
  <si>
    <t xml:space="preserve">Motocicleta</t>
  </si>
  <si>
    <t xml:space="preserve">transport</t>
  </si>
  <si>
    <t xml:space="preserve">car</t>
  </si>
  <si>
    <t xml:space="preserve">Auto</t>
  </si>
  <si>
    <t xml:space="preserve">public</t>
  </si>
  <si>
    <t xml:space="preserve">Transporte público</t>
  </si>
  <si>
    <t xml:space="preserve">exp_cat</t>
  </si>
  <si>
    <t xml:space="preserve">Transporte</t>
  </si>
  <si>
    <t xml:space="preserve">Otro (especifique)</t>
  </si>
  <si>
    <t xml:space="preserve">likert5</t>
  </si>
  <si>
    <t xml:space="preserve">1</t>
  </si>
  <si>
    <t xml:space="preserve">Muy insatisfecho</t>
  </si>
  <si>
    <t xml:space="preserve">2</t>
  </si>
  <si>
    <t xml:space="preserve">Insatisfecho</t>
  </si>
  <si>
    <t xml:space="preserve">3</t>
  </si>
  <si>
    <t xml:space="preserve">Neutral</t>
  </si>
  <si>
    <t xml:space="preserve">4</t>
  </si>
  <si>
    <t xml:space="preserve">Satisfecho</t>
  </si>
  <si>
    <t xml:space="preserve">5</t>
  </si>
  <si>
    <t xml:space="preserve">Muy satisfecho</t>
  </si>
  <si>
    <t xml:space="preserve">work</t>
  </si>
  <si>
    <t xml:space="preserve">Empleo</t>
  </si>
  <si>
    <t xml:space="preserve">protection</t>
  </si>
  <si>
    <t xml:space="preserve">Protección</t>
  </si>
  <si>
    <t xml:space="preserve">watsan</t>
  </si>
  <si>
    <t xml:space="preserve">Agua/Saneamiento</t>
  </si>
  <si>
    <t xml:space="preserve">PE</t>
  </si>
  <si>
    <t xml:space="preserve">Perú</t>
  </si>
  <si>
    <t xml:space="preserve">CO</t>
  </si>
  <si>
    <t xml:space="preserve">Colombia</t>
  </si>
  <si>
    <t xml:space="preserve">PE-LIM</t>
  </si>
  <si>
    <t xml:space="preserve">Lima</t>
  </si>
  <si>
    <t xml:space="preserve">PE-PIU</t>
  </si>
  <si>
    <t xml:space="preserve">Piura</t>
  </si>
  <si>
    <t xml:space="preserve">CO-ANT</t>
  </si>
  <si>
    <t xml:space="preserve">Antioquia</t>
  </si>
  <si>
    <t xml:space="preserve">CO-ATL</t>
  </si>
  <si>
    <t xml:space="preserve">Atlántico</t>
  </si>
  <si>
    <t xml:space="preserve">LIM-PROV</t>
  </si>
  <si>
    <t xml:space="preserve">Lima Prov.</t>
  </si>
  <si>
    <t xml:space="preserve">PIU-PROV</t>
  </si>
  <si>
    <t xml:space="preserve">Piura Prov.</t>
  </si>
  <si>
    <t xml:space="preserve">ANT-PROV</t>
  </si>
  <si>
    <t xml:space="preserve">Antioquia Prov.</t>
  </si>
  <si>
    <t xml:space="preserve">ATL-PROV</t>
  </si>
  <si>
    <t xml:space="preserve">Atlántico Prov.</t>
  </si>
  <si>
    <t xml:space="preserve">LIM01</t>
  </si>
  <si>
    <t xml:space="preserve">Lima Cercado</t>
  </si>
  <si>
    <t xml:space="preserve">LIM02</t>
  </si>
  <si>
    <t xml:space="preserve">SJL</t>
  </si>
  <si>
    <t xml:space="preserve">PIU01</t>
  </si>
  <si>
    <t xml:space="preserve">ANT01</t>
  </si>
  <si>
    <t xml:space="preserve">Medellín</t>
  </si>
  <si>
    <t xml:space="preserve">ATL01</t>
  </si>
  <si>
    <t xml:space="preserve">Barranquilla</t>
  </si>
  <si>
    <t xml:space="preserve">Seccion</t>
  </si>
  <si>
    <t xml:space="preserve">Contenido</t>
  </si>
  <si>
    <t xml:space="preserve">Título</t>
  </si>
  <si>
    <t xml:space="preserve">Plan de Limpieza – ACNUR</t>
  </si>
  <si>
    <t xml:space="preserve">Versión</t>
  </si>
  <si>
    <t xml:space="preserve">2025-11-06</t>
  </si>
  <si>
    <t xml:space="preserve">Autor</t>
  </si>
  <si>
    <t xml:space="preserve">gonzaloalmendariz</t>
  </si>
  <si>
    <t xml:space="preserve">Fecha</t>
  </si>
  <si>
    <t xml:space="preserve">2025-11-06 18:54:21</t>
  </si>
  <si>
    <t xml:space="preserve">Descripción</t>
  </si>
  <si>
    <t xml:space="preserve">Este archivo contiene el plan de limpieza automatizado a partir de un XLSForm. 
Incluye reglas de control, saltos de preguntas, restricciones/consistencias, 
y referencias de diccionario y opciones.</t>
  </si>
  <si>
    <t xml:space="preserve">Tabla de contenidos</t>
  </si>
  <si>
    <t xml:space="preserve">- [Plan](#'Plan'!A1)
- [Resumen](#'Resumen'!A1)
- [Secciones](#'Secciones'!A1)
- [Diccionario](#'Diccionario'!A1)
- [Choices](#'Choices'!A1)
</t>
  </si>
  <si>
    <t xml:space="preserve">Estructura de columnas (Plan)</t>
  </si>
  <si>
    <t xml:space="preserve">Plan: columnas esperadas:
- ID
- Tabla
- Categoría
- Tipo
- Nombre de regla
- Objetivo
- Variable 1 / 2 / 3 y sus etiquetas
- Procesamiento
- (técnicas y metadatos a la derecha)</t>
  </si>
  <si>
    <t xml:space="preserve">Convenciones de Procesamiento</t>
  </si>
  <si>
    <t xml:space="preserve">Convenciones clave:
- TRUE = inconsistencia (o según tu convención)
- Texto vacío: `trimws(var) == ""`
- NA: `is.na(var)`
- Rangos numéricos: usa conversión segura `suppressWarnings(as.numeric(var))`
- Token Other (select_multiple): `grepl("(^|\\s)(Other|Otro|Otra)(\\s|$)", var)`</t>
  </si>
  <si>
    <t xml:space="preserve">Secciones y prefijos (resumen)</t>
  </si>
  <si>
    <t xml:space="preserve">Secciones detectadas (10): INTR_→intro; UBIC_→ubicacion; HOGA_→hogar; EDUC_→educ; EMPL_→empleo; VIVI_→vivienda; SALU_→salud; ASIS_→asistencia; MEDI_→mv; PERC_→percepcion</t>
  </si>
  <si>
    <t xml:space="preserve">Color</t>
  </si>
  <si>
    <t xml:space="preserve">#EEF4FD</t>
  </si>
  <si>
    <t xml:space="preserve">#DDEBF7</t>
  </si>
  <si>
    <t xml:space="preserve">#CFE2F3</t>
  </si>
  <si>
    <t xml:space="preserve">Valores atípicos</t>
  </si>
  <si>
    <t xml:space="preserve">#BFD7EE</t>
  </si>
  <si>
    <t xml:space="preserve">Filtro de opciones</t>
  </si>
  <si>
    <t xml:space="preserve">Valores calculados</t>
  </si>
  <si>
    <t xml:space="preserve">#EBF6EC</t>
  </si>
  <si>
    <t xml:space="preserve">#E2EFDA</t>
  </si>
  <si>
    <t xml:space="preserve">#D7EAD1</t>
  </si>
  <si>
    <t xml:space="preserve">#CFE6CA</t>
  </si>
  <si>
    <t xml:space="preserve">#FFF9E6</t>
  </si>
  <si>
    <t xml:space="preserve">#FFF2CC</t>
  </si>
  <si>
    <t xml:space="preserve">#FFEFB3</t>
  </si>
  <si>
    <t xml:space="preserve">#FFE89A</t>
  </si>
  <si>
    <t xml:space="preserve">#FDEEE8</t>
  </si>
  <si>
    <t xml:space="preserve">#FCE4D6</t>
  </si>
  <si>
    <t xml:space="preserve">#FAD9CC</t>
  </si>
  <si>
    <t xml:space="preserve">#F8CFC1</t>
  </si>
  <si>
    <t xml:space="preserve">#F4EEFD</t>
  </si>
  <si>
    <t xml:space="preserve">#EAE1FA</t>
  </si>
  <si>
    <t xml:space="preserve">#E1D4F7</t>
  </si>
  <si>
    <t xml:space="preserve">#D7C7F4</t>
  </si>
  <si>
    <t xml:space="preserve">#E9F7F6</t>
  </si>
  <si>
    <t xml:space="preserve">#D6EFEE</t>
  </si>
  <si>
    <t xml:space="preserve">#C8E7E6</t>
  </si>
  <si>
    <t xml:space="preserve">#B9DFDE</t>
  </si>
  <si>
    <t xml:space="preserve">#F7F7F7</t>
  </si>
  <si>
    <t xml:space="preserve">#EEEEEE</t>
  </si>
  <si>
    <t xml:space="preserve">#E6E6E6</t>
  </si>
  <si>
    <t xml:space="preserve">#DDDDDD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</si>
</sst>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5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onsolas"/>
    </font>
    <font>
      <sz val="11"/>
      <color theme="10"/>
      <name val="Calibri"/>
      <u val="single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EF4FD"/>
      </patternFill>
    </fill>
    <fill>
      <patternFill patternType="solid">
        <fgColor rgb="FFE2EFDA"/>
      </patternFill>
    </fill>
    <fill>
      <patternFill patternType="solid">
        <fgColor rgb="FFEBF6EC"/>
      </patternFill>
    </fill>
    <fill>
      <patternFill patternType="solid">
        <fgColor rgb="FFFFEFB3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AD9CC"/>
      </patternFill>
    </fill>
    <fill>
      <patternFill patternType="solid">
        <fgColor rgb="FFFDEEE8"/>
      </patternFill>
    </fill>
    <fill>
      <patternFill patternType="solid">
        <fgColor rgb="FFE1D4F7"/>
      </patternFill>
    </fill>
    <fill>
      <patternFill patternType="solid">
        <fgColor rgb="FFEAE1FA"/>
      </patternFill>
    </fill>
    <fill>
      <patternFill patternType="solid">
        <fgColor rgb="FFF4EEFD"/>
      </patternFill>
    </fill>
    <fill>
      <patternFill patternType="solid">
        <fgColor rgb="FFC8E7E6"/>
      </patternFill>
    </fill>
    <fill>
      <patternFill patternType="solid">
        <fgColor rgb="FFD6EFEE"/>
      </patternFill>
    </fill>
    <fill>
      <patternFill patternType="solid">
        <fgColor rgb="FFE9F7F6"/>
      </patternFill>
    </fill>
    <fill>
      <patternFill patternType="solid">
        <fgColor rgb="FFF7F7F7"/>
      </patternFill>
    </fill>
    <fill>
      <patternFill patternType="solid">
        <fgColor rgb="FFCFE2F3"/>
      </patternFill>
    </fill>
    <fill>
      <patternFill patternType="solid">
        <fgColor rgb="FFD7EAD1"/>
      </patternFill>
    </fill>
    <fill>
      <patternFill patternType="solid">
        <fgColor rgb="FFFAFAFA"/>
      </patternFill>
    </fill>
    <fill>
      <patternFill patternType="solid">
        <fgColor rgb="FFBFD7EE"/>
      </patternFill>
    </fill>
    <fill>
      <patternFill patternType="solid">
        <fgColor rgb="FFCFE6CA"/>
      </patternFill>
    </fill>
    <fill>
      <patternFill patternType="solid">
        <fgColor rgb="FFFFE89A"/>
      </patternFill>
    </fill>
    <fill>
      <patternFill patternType="solid">
        <fgColor rgb="FFFCE4D6"/>
      </patternFill>
    </fill>
    <fill>
      <patternFill patternType="solid">
        <fgColor rgb="FFF8CFC1"/>
      </patternFill>
    </fill>
    <fill>
      <patternFill patternType="solid">
        <fgColor rgb="FFD7C7F4"/>
      </patternFill>
    </fill>
    <fill>
      <patternFill patternType="solid">
        <fgColor rgb="FFB9DFDE"/>
      </patternFill>
    </fill>
    <fill>
      <patternFill patternType="solid">
        <fgColor rgb="FFEEEEEE"/>
      </patternFill>
    </fill>
    <fill>
      <patternFill patternType="solid">
        <fgColor rgb="FFE6E6E6"/>
      </patternFill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6" fontId="2" fillId="3" borderId="2" xfId="0" applyFont="1" applyNumberForma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166" fontId="2" fillId="4" borderId="2" xfId="0" applyFont="1" applyNumberForma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166" fontId="2" fillId="5" borderId="2" xfId="0" applyFont="1" applyNumberForma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166" fontId="2" fillId="6" borderId="2" xfId="0" applyFont="1" applyNumberForma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166" fontId="2" fillId="7" borderId="2" xfId="0" applyFont="1" applyNumberForma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6" fontId="2" fillId="8" borderId="2" xfId="0" applyFont="1" applyNumberForma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166" fontId="2" fillId="9" borderId="2" xfId="0" applyFont="1" applyNumberForma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166" fontId="2" fillId="10" borderId="2" xfId="0" applyFont="1" applyNumberForma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166" fontId="2" fillId="11" borderId="2" xfId="0" applyFont="1" applyNumberFormat="1" applyFill="1" applyBorder="1" applyAlignment="1">
      <alignment horizontal="left" vertical="top" wrapText="1"/>
    </xf>
    <xf numFmtId="0" fontId="2" fillId="12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/>
    </xf>
    <xf numFmtId="166" fontId="2" fillId="12" borderId="2" xfId="0" applyFont="1" applyNumberFormat="1" applyFill="1" applyBorder="1" applyAlignment="1">
      <alignment horizontal="left" vertical="top" wrapText="1"/>
    </xf>
    <xf numFmtId="0" fontId="2" fillId="13" borderId="2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left" vertical="top" wrapText="1"/>
    </xf>
    <xf numFmtId="166" fontId="2" fillId="13" borderId="2" xfId="0" applyFont="1" applyNumberFormat="1" applyFill="1" applyBorder="1" applyAlignment="1">
      <alignment horizontal="left" vertical="top" wrapText="1"/>
    </xf>
    <xf numFmtId="0" fontId="2" fillId="14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left" vertical="top" wrapText="1"/>
    </xf>
    <xf numFmtId="166" fontId="2" fillId="14" borderId="2" xfId="0" applyFont="1" applyNumberFormat="1" applyFill="1" applyBorder="1" applyAlignment="1">
      <alignment horizontal="left" vertical="top" wrapText="1"/>
    </xf>
    <xf numFmtId="0" fontId="2" fillId="15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 wrapText="1"/>
    </xf>
    <xf numFmtId="166" fontId="2" fillId="15" borderId="2" xfId="0" applyFont="1" applyNumberFormat="1" applyFill="1" applyBorder="1" applyAlignment="1">
      <alignment horizontal="left" vertical="top" wrapText="1"/>
    </xf>
    <xf numFmtId="0" fontId="2" fillId="16" borderId="2" xfId="0" applyFont="1" applyFill="1" applyBorder="1" applyAlignment="1">
      <alignment horizontal="left" vertical="top" wrapText="1"/>
    </xf>
    <xf numFmtId="0" fontId="3" fillId="16" borderId="2" xfId="0" applyFont="1" applyFill="1" applyBorder="1" applyAlignment="1">
      <alignment horizontal="left" vertical="top" wrapText="1"/>
    </xf>
    <xf numFmtId="166" fontId="2" fillId="16" borderId="2" xfId="0" applyFont="1" applyNumberFormat="1" applyFill="1" applyBorder="1" applyAlignment="1">
      <alignment horizontal="left" vertical="top" wrapText="1"/>
    </xf>
    <xf numFmtId="0" fontId="2" fillId="17" borderId="2" xfId="0" applyFont="1" applyFill="1" applyBorder="1" applyAlignment="1">
      <alignment horizontal="left" vertical="top" wrapText="1"/>
    </xf>
    <xf numFmtId="0" fontId="3" fillId="17" borderId="2" xfId="0" applyFont="1" applyFill="1" applyBorder="1" applyAlignment="1">
      <alignment horizontal="left" vertical="top" wrapText="1"/>
    </xf>
    <xf numFmtId="166" fontId="2" fillId="17" borderId="2" xfId="0" applyFont="1" applyNumberFormat="1" applyFill="1" applyBorder="1" applyAlignment="1">
      <alignment horizontal="left" vertical="top" wrapText="1"/>
    </xf>
    <xf numFmtId="0" fontId="2" fillId="18" borderId="2" xfId="0" applyFont="1" applyFill="1" applyBorder="1" applyAlignment="1">
      <alignment horizontal="left" vertical="top" wrapText="1"/>
    </xf>
    <xf numFmtId="0" fontId="3" fillId="18" borderId="2" xfId="0" applyFont="1" applyFill="1" applyBorder="1" applyAlignment="1">
      <alignment horizontal="left" vertical="top" wrapText="1"/>
    </xf>
    <xf numFmtId="166" fontId="2" fillId="18" borderId="2" xfId="0" applyFont="1" applyNumberFormat="1" applyFill="1" applyBorder="1" applyAlignment="1">
      <alignment horizontal="left" vertical="top" wrapText="1"/>
    </xf>
    <xf numFmtId="0" fontId="2" fillId="19" borderId="2" xfId="0" applyFont="1" applyFill="1" applyBorder="1" applyAlignment="1">
      <alignment horizontal="left" vertical="top" wrapText="1"/>
    </xf>
    <xf numFmtId="0" fontId="3" fillId="19" borderId="2" xfId="0" applyFont="1" applyFill="1" applyBorder="1" applyAlignment="1">
      <alignment horizontal="left" vertical="top" wrapText="1"/>
    </xf>
    <xf numFmtId="166" fontId="2" fillId="19" borderId="2" xfId="0" applyFont="1" applyNumberFormat="1" applyFill="1" applyBorder="1" applyAlignment="1">
      <alignment horizontal="left" vertical="top" wrapText="1"/>
    </xf>
    <xf numFmtId="0" fontId="2" fillId="20" borderId="2" xfId="0" applyFont="1" applyFill="1" applyBorder="1" applyAlignment="1">
      <alignment horizontal="left" vertical="top" wrapText="1"/>
    </xf>
    <xf numFmtId="0" fontId="3" fillId="20" borderId="2" xfId="0" applyFont="1" applyFill="1" applyBorder="1" applyAlignment="1">
      <alignment horizontal="left" vertical="top" wrapText="1"/>
    </xf>
    <xf numFmtId="166" fontId="2" fillId="20" borderId="2" xfId="0" applyFont="1" applyNumberForma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21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21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/>
    <xf numFmtId="0" fontId="2" fillId="4" borderId="2" xfId="0" applyFont="1" applyFill="1" applyBorder="1"/>
    <xf numFmtId="0" fontId="2" fillId="3" borderId="2" xfId="0" applyFont="1" applyFill="1" applyBorder="1"/>
    <xf numFmtId="0" fontId="2" fillId="19" borderId="2" xfId="0" applyFont="1" applyFill="1" applyBorder="1"/>
    <xf numFmtId="0" fontId="2" fillId="22" borderId="2" xfId="0" applyFont="1" applyFill="1" applyBorder="1"/>
    <xf numFmtId="0" fontId="2" fillId="6" borderId="2" xfId="0" applyFont="1" applyFill="1" applyBorder="1"/>
    <xf numFmtId="0" fontId="2" fillId="5" borderId="2" xfId="0" applyFont="1" applyFill="1" applyBorder="1"/>
    <xf numFmtId="0" fontId="2" fillId="20" borderId="2" xfId="0" applyFont="1" applyFill="1" applyBorder="1"/>
    <xf numFmtId="0" fontId="2" fillId="23" borderId="2" xfId="0" applyFont="1" applyFill="1" applyBorder="1"/>
    <xf numFmtId="0" fontId="2" fillId="9" borderId="2" xfId="0" applyFont="1" applyFill="1" applyBorder="1"/>
    <xf numFmtId="0" fontId="2" fillId="8" borderId="2" xfId="0" applyFont="1" applyFill="1" applyBorder="1"/>
    <xf numFmtId="0" fontId="2" fillId="7" borderId="2" xfId="0" applyFont="1" applyFill="1" applyBorder="1"/>
    <xf numFmtId="0" fontId="2" fillId="24" borderId="2" xfId="0" applyFont="1" applyFill="1" applyBorder="1"/>
    <xf numFmtId="0" fontId="2" fillId="11" borderId="2" xfId="0" applyFont="1" applyFill="1" applyBorder="1"/>
    <xf numFmtId="0" fontId="2" fillId="25" borderId="2" xfId="0" applyFont="1" applyFill="1" applyBorder="1"/>
    <xf numFmtId="0" fontId="2" fillId="10" borderId="2" xfId="0" applyFont="1" applyFill="1" applyBorder="1"/>
    <xf numFmtId="0" fontId="2" fillId="26" borderId="2" xfId="0" applyFont="1" applyFill="1" applyBorder="1"/>
    <xf numFmtId="0" fontId="2" fillId="14" borderId="2" xfId="0" applyFont="1" applyFill="1" applyBorder="1"/>
    <xf numFmtId="0" fontId="2" fillId="13" borderId="2" xfId="0" applyFont="1" applyFill="1" applyBorder="1"/>
    <xf numFmtId="0" fontId="2" fillId="12" borderId="2" xfId="0" applyFont="1" applyFill="1" applyBorder="1"/>
    <xf numFmtId="0" fontId="2" fillId="27" borderId="2" xfId="0" applyFont="1" applyFill="1" applyBorder="1"/>
    <xf numFmtId="0" fontId="2" fillId="17" borderId="2" xfId="0" applyFont="1" applyFill="1" applyBorder="1"/>
    <xf numFmtId="0" fontId="2" fillId="16" borderId="2" xfId="0" applyFont="1" applyFill="1" applyBorder="1"/>
    <xf numFmtId="0" fontId="2" fillId="15" borderId="2" xfId="0" applyFont="1" applyFill="1" applyBorder="1"/>
    <xf numFmtId="0" fontId="2" fillId="28" borderId="2" xfId="0" applyFont="1" applyFill="1" applyBorder="1"/>
    <xf numFmtId="0" fontId="2" fillId="18" borderId="2" xfId="0" applyFont="1" applyFill="1" applyBorder="1"/>
    <xf numFmtId="0" fontId="2" fillId="29" borderId="2" xfId="0" applyFont="1" applyFill="1" applyBorder="1"/>
    <xf numFmtId="0" fontId="2" fillId="30" borderId="2" xfId="0" applyFont="1" applyFill="1" applyBorder="1"/>
    <xf numFmtId="0" fontId="2" fillId="31" borderId="2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 outlineLevelRow="2"/>
  <cols>
    <col min="1" max="1" width="18.71" hidden="0" customWidth="1"/>
    <col min="2" max="2" width="18.71" hidden="0" customWidth="1"/>
    <col min="3" max="3" width="18.71" hidden="0" customWidth="1"/>
    <col min="4" max="4" width="24.71" hidden="0" customWidth="1"/>
    <col min="5" max="5" width="18.71" hidden="0" customWidth="1"/>
    <col min="6" max="6" width="34.71" hidden="0" customWidth="1"/>
    <col min="7" max="7" width="60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90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1" hidden="0">
      <c r="A2" s="4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/>
      <c r="K2" s="2"/>
      <c r="L2" s="2"/>
      <c r="M2" s="2"/>
      <c r="N2" s="3" t="s">
        <v>29</v>
      </c>
      <c r="O2" s="2" t="s">
        <v>21</v>
      </c>
      <c r="P2" s="2" t="s">
        <v>21</v>
      </c>
      <c r="Q2" s="2"/>
      <c r="R2" s="2"/>
      <c r="S2" s="2"/>
      <c r="T2" s="2"/>
    </row>
    <row r="3" outlineLevel="2" hidden="0">
      <c r="A3" s="7" t="s">
        <v>30</v>
      </c>
      <c r="B3" s="5" t="s">
        <v>21</v>
      </c>
      <c r="C3" s="5" t="s">
        <v>22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27</v>
      </c>
      <c r="K3" s="5" t="s">
        <v>28</v>
      </c>
      <c r="L3" s="5"/>
      <c r="M3" s="5"/>
      <c r="N3" s="6" t="s">
        <v>37</v>
      </c>
      <c r="O3" s="5" t="s">
        <v>21</v>
      </c>
      <c r="P3" s="5" t="s">
        <v>21</v>
      </c>
      <c r="Q3" s="5" t="s">
        <v>21</v>
      </c>
      <c r="R3" s="5"/>
      <c r="S3" s="5"/>
      <c r="T3" s="5"/>
    </row>
    <row r="4" outlineLevel="2" hidden="0">
      <c r="A4" s="7" t="s">
        <v>38</v>
      </c>
      <c r="B4" s="5" t="s">
        <v>21</v>
      </c>
      <c r="C4" s="5" t="s">
        <v>22</v>
      </c>
      <c r="D4" s="5" t="s">
        <v>31</v>
      </c>
      <c r="E4" s="5" t="s">
        <v>32</v>
      </c>
      <c r="F4" s="5" t="s">
        <v>39</v>
      </c>
      <c r="G4" s="5" t="s">
        <v>40</v>
      </c>
      <c r="H4" s="5" t="s">
        <v>35</v>
      </c>
      <c r="I4" s="5" t="s">
        <v>36</v>
      </c>
      <c r="J4" s="5" t="s">
        <v>27</v>
      </c>
      <c r="K4" s="5" t="s">
        <v>28</v>
      </c>
      <c r="L4" s="5"/>
      <c r="M4" s="5"/>
      <c r="N4" s="6" t="s">
        <v>41</v>
      </c>
      <c r="O4" s="5" t="s">
        <v>21</v>
      </c>
      <c r="P4" s="5" t="s">
        <v>21</v>
      </c>
      <c r="Q4" s="5" t="s">
        <v>21</v>
      </c>
      <c r="R4" s="5"/>
      <c r="S4" s="5"/>
      <c r="T4" s="5"/>
    </row>
    <row r="5" outlineLevel="2" hidden="0">
      <c r="A5" s="7" t="s">
        <v>42</v>
      </c>
      <c r="B5" s="5" t="s">
        <v>21</v>
      </c>
      <c r="C5" s="5" t="s">
        <v>22</v>
      </c>
      <c r="D5" s="5" t="s">
        <v>31</v>
      </c>
      <c r="E5" s="5" t="s">
        <v>24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27</v>
      </c>
      <c r="K5" s="5" t="s">
        <v>28</v>
      </c>
      <c r="L5" s="5"/>
      <c r="M5" s="5"/>
      <c r="N5" s="6" t="s">
        <v>47</v>
      </c>
      <c r="O5" s="5" t="s">
        <v>21</v>
      </c>
      <c r="P5" s="5" t="s">
        <v>21</v>
      </c>
      <c r="Q5" s="5" t="s">
        <v>21</v>
      </c>
      <c r="R5" s="5"/>
      <c r="S5" s="5"/>
      <c r="T5" s="5"/>
    </row>
    <row r="6" outlineLevel="2" hidden="0">
      <c r="A6" s="7" t="s">
        <v>48</v>
      </c>
      <c r="B6" s="5" t="s">
        <v>21</v>
      </c>
      <c r="C6" s="5" t="s">
        <v>22</v>
      </c>
      <c r="D6" s="5" t="s">
        <v>31</v>
      </c>
      <c r="E6" s="5" t="s">
        <v>24</v>
      </c>
      <c r="F6" s="5" t="s">
        <v>49</v>
      </c>
      <c r="G6" s="5" t="s">
        <v>50</v>
      </c>
      <c r="H6" s="5" t="s">
        <v>45</v>
      </c>
      <c r="I6" s="5" t="s">
        <v>46</v>
      </c>
      <c r="J6" s="5" t="s">
        <v>27</v>
      </c>
      <c r="K6" s="5" t="s">
        <v>28</v>
      </c>
      <c r="L6" s="5"/>
      <c r="M6" s="5"/>
      <c r="N6" s="6" t="s">
        <v>51</v>
      </c>
      <c r="O6" s="5" t="s">
        <v>21</v>
      </c>
      <c r="P6" s="5" t="s">
        <v>21</v>
      </c>
      <c r="Q6" s="5" t="s">
        <v>21</v>
      </c>
      <c r="R6" s="5"/>
      <c r="S6" s="5"/>
      <c r="T6" s="5"/>
    </row>
    <row r="7" outlineLevel="2" hidden="0">
      <c r="A7" s="7" t="s">
        <v>52</v>
      </c>
      <c r="B7" s="5" t="s">
        <v>21</v>
      </c>
      <c r="C7" s="5" t="s">
        <v>22</v>
      </c>
      <c r="D7" s="5" t="s">
        <v>31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 t="s">
        <v>27</v>
      </c>
      <c r="K7" s="5" t="s">
        <v>28</v>
      </c>
      <c r="L7" s="5"/>
      <c r="M7" s="5"/>
      <c r="N7" s="6" t="s">
        <v>58</v>
      </c>
      <c r="O7" s="5" t="s">
        <v>21</v>
      </c>
      <c r="P7" s="5" t="s">
        <v>21</v>
      </c>
      <c r="Q7" s="5" t="s">
        <v>21</v>
      </c>
      <c r="R7" s="5"/>
      <c r="S7" s="5"/>
      <c r="T7" s="5"/>
    </row>
    <row r="8" outlineLevel="2" hidden="0">
      <c r="A8" s="7" t="s">
        <v>59</v>
      </c>
      <c r="B8" s="5" t="s">
        <v>21</v>
      </c>
      <c r="C8" s="5" t="s">
        <v>22</v>
      </c>
      <c r="D8" s="5" t="s">
        <v>31</v>
      </c>
      <c r="E8" s="5" t="s">
        <v>53</v>
      </c>
      <c r="F8" s="5" t="s">
        <v>60</v>
      </c>
      <c r="G8" s="5" t="s">
        <v>61</v>
      </c>
      <c r="H8" s="5" t="s">
        <v>56</v>
      </c>
      <c r="I8" s="5" t="s">
        <v>57</v>
      </c>
      <c r="J8" s="5" t="s">
        <v>27</v>
      </c>
      <c r="K8" s="5" t="s">
        <v>28</v>
      </c>
      <c r="L8" s="5"/>
      <c r="M8" s="5"/>
      <c r="N8" s="6" t="s">
        <v>62</v>
      </c>
      <c r="O8" s="5" t="s">
        <v>21</v>
      </c>
      <c r="P8" s="5" t="s">
        <v>21</v>
      </c>
      <c r="Q8" s="5" t="s">
        <v>21</v>
      </c>
      <c r="R8" s="5"/>
      <c r="S8" s="5"/>
      <c r="T8" s="5"/>
    </row>
    <row r="9" outlineLevel="2" hidden="0">
      <c r="A9" s="10" t="s">
        <v>63</v>
      </c>
      <c r="B9" s="8" t="s">
        <v>21</v>
      </c>
      <c r="C9" s="8" t="s">
        <v>64</v>
      </c>
      <c r="D9" s="8" t="s">
        <v>23</v>
      </c>
      <c r="E9" s="8" t="s">
        <v>24</v>
      </c>
      <c r="F9" s="8" t="s">
        <v>65</v>
      </c>
      <c r="G9" s="8" t="s">
        <v>66</v>
      </c>
      <c r="H9" s="8" t="s">
        <v>67</v>
      </c>
      <c r="I9" s="8" t="s">
        <v>68</v>
      </c>
      <c r="J9" s="8" t="s">
        <v>27</v>
      </c>
      <c r="K9" s="8" t="s">
        <v>28</v>
      </c>
      <c r="L9" s="8"/>
      <c r="M9" s="8"/>
      <c r="N9" s="9" t="s">
        <v>69</v>
      </c>
      <c r="O9" s="8" t="s">
        <v>21</v>
      </c>
      <c r="P9" s="8" t="s">
        <v>21</v>
      </c>
      <c r="Q9" s="8" t="s">
        <v>21</v>
      </c>
      <c r="R9" s="8"/>
      <c r="S9" s="8"/>
      <c r="T9" s="8"/>
    </row>
    <row r="10" outlineLevel="2" hidden="0">
      <c r="A10" s="10" t="s">
        <v>70</v>
      </c>
      <c r="B10" s="8" t="s">
        <v>21</v>
      </c>
      <c r="C10" s="8" t="s">
        <v>64</v>
      </c>
      <c r="D10" s="8" t="s">
        <v>23</v>
      </c>
      <c r="E10" s="8" t="s">
        <v>24</v>
      </c>
      <c r="F10" s="8" t="s">
        <v>71</v>
      </c>
      <c r="G10" s="8" t="s">
        <v>72</v>
      </c>
      <c r="H10" s="8" t="s">
        <v>73</v>
      </c>
      <c r="I10" s="8" t="s">
        <v>74</v>
      </c>
      <c r="J10" s="8" t="s">
        <v>27</v>
      </c>
      <c r="K10" s="8" t="s">
        <v>28</v>
      </c>
      <c r="L10" s="8"/>
      <c r="M10" s="8"/>
      <c r="N10" s="9" t="s">
        <v>75</v>
      </c>
      <c r="O10" s="8" t="s">
        <v>21</v>
      </c>
      <c r="P10" s="8" t="s">
        <v>21</v>
      </c>
      <c r="Q10" s="8" t="s">
        <v>21</v>
      </c>
      <c r="R10" s="8"/>
      <c r="S10" s="8"/>
      <c r="T10" s="8"/>
    </row>
    <row r="11" outlineLevel="2" hidden="0">
      <c r="A11" s="10" t="s">
        <v>76</v>
      </c>
      <c r="B11" s="8" t="s">
        <v>21</v>
      </c>
      <c r="C11" s="8" t="s">
        <v>64</v>
      </c>
      <c r="D11" s="8" t="s">
        <v>23</v>
      </c>
      <c r="E11" s="8" t="s">
        <v>24</v>
      </c>
      <c r="F11" s="8" t="s">
        <v>77</v>
      </c>
      <c r="G11" s="8" t="s">
        <v>78</v>
      </c>
      <c r="H11" s="8" t="s">
        <v>79</v>
      </c>
      <c r="I11" s="8" t="s">
        <v>80</v>
      </c>
      <c r="J11" s="8" t="s">
        <v>27</v>
      </c>
      <c r="K11" s="8" t="s">
        <v>28</v>
      </c>
      <c r="L11" s="8"/>
      <c r="M11" s="8"/>
      <c r="N11" s="9" t="s">
        <v>81</v>
      </c>
      <c r="O11" s="8" t="s">
        <v>21</v>
      </c>
      <c r="P11" s="8" t="s">
        <v>21</v>
      </c>
      <c r="Q11" s="8" t="s">
        <v>21</v>
      </c>
      <c r="R11" s="8"/>
      <c r="S11" s="8"/>
      <c r="T11" s="8"/>
    </row>
    <row r="12" outlineLevel="2" hidden="0">
      <c r="A12" s="10" t="s">
        <v>82</v>
      </c>
      <c r="B12" s="8" t="s">
        <v>21</v>
      </c>
      <c r="C12" s="8" t="s">
        <v>64</v>
      </c>
      <c r="D12" s="8" t="s">
        <v>23</v>
      </c>
      <c r="E12" s="8" t="s">
        <v>24</v>
      </c>
      <c r="F12" s="8" t="s">
        <v>83</v>
      </c>
      <c r="G12" s="8" t="s">
        <v>84</v>
      </c>
      <c r="H12" s="8" t="s">
        <v>85</v>
      </c>
      <c r="I12" s="8" t="s">
        <v>86</v>
      </c>
      <c r="J12" s="8" t="s">
        <v>27</v>
      </c>
      <c r="K12" s="8" t="s">
        <v>28</v>
      </c>
      <c r="L12" s="8"/>
      <c r="M12" s="8"/>
      <c r="N12" s="9" t="s">
        <v>87</v>
      </c>
      <c r="O12" s="8" t="s">
        <v>21</v>
      </c>
      <c r="P12" s="8" t="s">
        <v>21</v>
      </c>
      <c r="Q12" s="8" t="s">
        <v>21</v>
      </c>
      <c r="R12" s="8"/>
      <c r="S12" s="8"/>
      <c r="T12" s="8"/>
    </row>
    <row r="13" outlineLevel="2" hidden="0">
      <c r="A13" s="13" t="s">
        <v>88</v>
      </c>
      <c r="B13" s="11" t="s">
        <v>21</v>
      </c>
      <c r="C13" s="11" t="s">
        <v>64</v>
      </c>
      <c r="D13" s="11" t="s">
        <v>31</v>
      </c>
      <c r="E13" s="11" t="s">
        <v>24</v>
      </c>
      <c r="F13" s="11" t="s">
        <v>89</v>
      </c>
      <c r="G13" s="11" t="s">
        <v>66</v>
      </c>
      <c r="H13" s="11" t="s">
        <v>67</v>
      </c>
      <c r="I13" s="11" t="s">
        <v>68</v>
      </c>
      <c r="J13" s="11" t="s">
        <v>27</v>
      </c>
      <c r="K13" s="11" t="s">
        <v>28</v>
      </c>
      <c r="L13" s="11"/>
      <c r="M13" s="11"/>
      <c r="N13" s="12" t="s">
        <v>90</v>
      </c>
      <c r="O13" s="11" t="s">
        <v>21</v>
      </c>
      <c r="P13" s="11" t="s">
        <v>21</v>
      </c>
      <c r="Q13" s="11" t="s">
        <v>21</v>
      </c>
      <c r="R13" s="11"/>
      <c r="S13" s="11"/>
      <c r="T13" s="11"/>
    </row>
    <row r="14" outlineLevel="2" hidden="0">
      <c r="A14" s="13" t="s">
        <v>91</v>
      </c>
      <c r="B14" s="11" t="s">
        <v>21</v>
      </c>
      <c r="C14" s="11" t="s">
        <v>64</v>
      </c>
      <c r="D14" s="11" t="s">
        <v>31</v>
      </c>
      <c r="E14" s="11" t="s">
        <v>24</v>
      </c>
      <c r="F14" s="11" t="s">
        <v>92</v>
      </c>
      <c r="G14" s="11" t="s">
        <v>93</v>
      </c>
      <c r="H14" s="11" t="s">
        <v>67</v>
      </c>
      <c r="I14" s="11" t="s">
        <v>68</v>
      </c>
      <c r="J14" s="11" t="s">
        <v>27</v>
      </c>
      <c r="K14" s="11" t="s">
        <v>28</v>
      </c>
      <c r="L14" s="11"/>
      <c r="M14" s="11"/>
      <c r="N14" s="12" t="s">
        <v>94</v>
      </c>
      <c r="O14" s="11" t="s">
        <v>21</v>
      </c>
      <c r="P14" s="11" t="s">
        <v>21</v>
      </c>
      <c r="Q14" s="11" t="s">
        <v>21</v>
      </c>
      <c r="R14" s="11"/>
      <c r="S14" s="11"/>
      <c r="T14" s="11"/>
    </row>
    <row r="15" outlineLevel="2" hidden="0">
      <c r="A15" s="13" t="s">
        <v>95</v>
      </c>
      <c r="B15" s="11" t="s">
        <v>21</v>
      </c>
      <c r="C15" s="11" t="s">
        <v>64</v>
      </c>
      <c r="D15" s="11" t="s">
        <v>31</v>
      </c>
      <c r="E15" s="11" t="s">
        <v>24</v>
      </c>
      <c r="F15" s="11" t="s">
        <v>96</v>
      </c>
      <c r="G15" s="11" t="s">
        <v>72</v>
      </c>
      <c r="H15" s="11" t="s">
        <v>73</v>
      </c>
      <c r="I15" s="11" t="s">
        <v>74</v>
      </c>
      <c r="J15" s="11" t="s">
        <v>27</v>
      </c>
      <c r="K15" s="11" t="s">
        <v>28</v>
      </c>
      <c r="L15" s="11"/>
      <c r="M15" s="11"/>
      <c r="N15" s="12" t="s">
        <v>97</v>
      </c>
      <c r="O15" s="11" t="s">
        <v>21</v>
      </c>
      <c r="P15" s="11" t="s">
        <v>21</v>
      </c>
      <c r="Q15" s="11" t="s">
        <v>21</v>
      </c>
      <c r="R15" s="11"/>
      <c r="S15" s="11"/>
      <c r="T15" s="11"/>
    </row>
    <row r="16" outlineLevel="2" hidden="0">
      <c r="A16" s="13" t="s">
        <v>98</v>
      </c>
      <c r="B16" s="11" t="s">
        <v>21</v>
      </c>
      <c r="C16" s="11" t="s">
        <v>64</v>
      </c>
      <c r="D16" s="11" t="s">
        <v>31</v>
      </c>
      <c r="E16" s="11" t="s">
        <v>24</v>
      </c>
      <c r="F16" s="11" t="s">
        <v>99</v>
      </c>
      <c r="G16" s="11" t="s">
        <v>100</v>
      </c>
      <c r="H16" s="11" t="s">
        <v>73</v>
      </c>
      <c r="I16" s="11" t="s">
        <v>74</v>
      </c>
      <c r="J16" s="11" t="s">
        <v>27</v>
      </c>
      <c r="K16" s="11" t="s">
        <v>28</v>
      </c>
      <c r="L16" s="11"/>
      <c r="M16" s="11"/>
      <c r="N16" s="12" t="s">
        <v>101</v>
      </c>
      <c r="O16" s="11" t="s">
        <v>21</v>
      </c>
      <c r="P16" s="11" t="s">
        <v>21</v>
      </c>
      <c r="Q16" s="11" t="s">
        <v>21</v>
      </c>
      <c r="R16" s="11"/>
      <c r="S16" s="11"/>
      <c r="T16" s="11"/>
    </row>
    <row r="17" outlineLevel="2" hidden="0">
      <c r="A17" s="13" t="s">
        <v>102</v>
      </c>
      <c r="B17" s="11" t="s">
        <v>21</v>
      </c>
      <c r="C17" s="11" t="s">
        <v>64</v>
      </c>
      <c r="D17" s="11" t="s">
        <v>31</v>
      </c>
      <c r="E17" s="11" t="s">
        <v>24</v>
      </c>
      <c r="F17" s="11" t="s">
        <v>103</v>
      </c>
      <c r="G17" s="11" t="s">
        <v>78</v>
      </c>
      <c r="H17" s="11" t="s">
        <v>79</v>
      </c>
      <c r="I17" s="11" t="s">
        <v>80</v>
      </c>
      <c r="J17" s="11" t="s">
        <v>27</v>
      </c>
      <c r="K17" s="11" t="s">
        <v>28</v>
      </c>
      <c r="L17" s="11"/>
      <c r="M17" s="11"/>
      <c r="N17" s="12" t="s">
        <v>104</v>
      </c>
      <c r="O17" s="11" t="s">
        <v>21</v>
      </c>
      <c r="P17" s="11" t="s">
        <v>21</v>
      </c>
      <c r="Q17" s="11" t="s">
        <v>21</v>
      </c>
      <c r="R17" s="11"/>
      <c r="S17" s="11"/>
      <c r="T17" s="11"/>
    </row>
    <row r="18" outlineLevel="2" hidden="0">
      <c r="A18" s="13" t="s">
        <v>105</v>
      </c>
      <c r="B18" s="11" t="s">
        <v>21</v>
      </c>
      <c r="C18" s="11" t="s">
        <v>64</v>
      </c>
      <c r="D18" s="11" t="s">
        <v>31</v>
      </c>
      <c r="E18" s="11" t="s">
        <v>24</v>
      </c>
      <c r="F18" s="11" t="s">
        <v>106</v>
      </c>
      <c r="G18" s="11" t="s">
        <v>107</v>
      </c>
      <c r="H18" s="11" t="s">
        <v>79</v>
      </c>
      <c r="I18" s="11" t="s">
        <v>80</v>
      </c>
      <c r="J18" s="11" t="s">
        <v>27</v>
      </c>
      <c r="K18" s="11" t="s">
        <v>28</v>
      </c>
      <c r="L18" s="11"/>
      <c r="M18" s="11"/>
      <c r="N18" s="12" t="s">
        <v>108</v>
      </c>
      <c r="O18" s="11" t="s">
        <v>21</v>
      </c>
      <c r="P18" s="11" t="s">
        <v>21</v>
      </c>
      <c r="Q18" s="11" t="s">
        <v>21</v>
      </c>
      <c r="R18" s="11"/>
      <c r="S18" s="11"/>
      <c r="T18" s="11"/>
    </row>
    <row r="19" outlineLevel="2" hidden="0">
      <c r="A19" s="13" t="s">
        <v>109</v>
      </c>
      <c r="B19" s="11" t="s">
        <v>21</v>
      </c>
      <c r="C19" s="11" t="s">
        <v>64</v>
      </c>
      <c r="D19" s="11" t="s">
        <v>31</v>
      </c>
      <c r="E19" s="11" t="s">
        <v>24</v>
      </c>
      <c r="F19" s="11" t="s">
        <v>110</v>
      </c>
      <c r="G19" s="11" t="s">
        <v>84</v>
      </c>
      <c r="H19" s="11" t="s">
        <v>85</v>
      </c>
      <c r="I19" s="11" t="s">
        <v>86</v>
      </c>
      <c r="J19" s="11" t="s">
        <v>27</v>
      </c>
      <c r="K19" s="11" t="s">
        <v>28</v>
      </c>
      <c r="L19" s="11"/>
      <c r="M19" s="11"/>
      <c r="N19" s="12" t="s">
        <v>111</v>
      </c>
      <c r="O19" s="11" t="s">
        <v>21</v>
      </c>
      <c r="P19" s="11" t="s">
        <v>21</v>
      </c>
      <c r="Q19" s="11" t="s">
        <v>21</v>
      </c>
      <c r="R19" s="11"/>
      <c r="S19" s="11"/>
      <c r="T19" s="11"/>
    </row>
    <row r="20" outlineLevel="2" hidden="0">
      <c r="A20" s="13" t="s">
        <v>112</v>
      </c>
      <c r="B20" s="11" t="s">
        <v>21</v>
      </c>
      <c r="C20" s="11" t="s">
        <v>64</v>
      </c>
      <c r="D20" s="11" t="s">
        <v>31</v>
      </c>
      <c r="E20" s="11" t="s">
        <v>24</v>
      </c>
      <c r="F20" s="11" t="s">
        <v>113</v>
      </c>
      <c r="G20" s="11" t="s">
        <v>114</v>
      </c>
      <c r="H20" s="11" t="s">
        <v>85</v>
      </c>
      <c r="I20" s="11" t="s">
        <v>86</v>
      </c>
      <c r="J20" s="11" t="s">
        <v>27</v>
      </c>
      <c r="K20" s="11" t="s">
        <v>28</v>
      </c>
      <c r="L20" s="11"/>
      <c r="M20" s="11"/>
      <c r="N20" s="12" t="s">
        <v>115</v>
      </c>
      <c r="O20" s="11" t="s">
        <v>21</v>
      </c>
      <c r="P20" s="11" t="s">
        <v>21</v>
      </c>
      <c r="Q20" s="11" t="s">
        <v>21</v>
      </c>
      <c r="R20" s="11"/>
      <c r="S20" s="11"/>
      <c r="T20" s="11"/>
    </row>
    <row r="21" outlineLevel="2" hidden="0">
      <c r="A21" s="16" t="s">
        <v>116</v>
      </c>
      <c r="B21" s="14" t="s">
        <v>21</v>
      </c>
      <c r="C21" s="14" t="s">
        <v>117</v>
      </c>
      <c r="D21" s="14" t="s">
        <v>118</v>
      </c>
      <c r="E21" s="14" t="s">
        <v>119</v>
      </c>
      <c r="F21" s="14" t="s">
        <v>120</v>
      </c>
      <c r="G21" s="14" t="s">
        <v>121</v>
      </c>
      <c r="H21" s="14" t="s">
        <v>122</v>
      </c>
      <c r="I21" s="14" t="s">
        <v>123</v>
      </c>
      <c r="J21" s="14" t="s">
        <v>122</v>
      </c>
      <c r="K21" s="14" t="s">
        <v>123</v>
      </c>
      <c r="L21" s="14" t="s">
        <v>27</v>
      </c>
      <c r="M21" s="14" t="s">
        <v>28</v>
      </c>
      <c r="N21" s="15" t="s">
        <v>124</v>
      </c>
      <c r="O21" s="14" t="s">
        <v>21</v>
      </c>
      <c r="P21" s="14" t="s">
        <v>21</v>
      </c>
      <c r="Q21" s="14" t="s">
        <v>21</v>
      </c>
      <c r="R21" s="14" t="s">
        <v>21</v>
      </c>
      <c r="S21" s="14"/>
      <c r="T21" s="14"/>
    </row>
    <row r="22" outlineLevel="2" hidden="0">
      <c r="A22" s="16" t="s">
        <v>125</v>
      </c>
      <c r="B22" s="14" t="s">
        <v>21</v>
      </c>
      <c r="C22" s="14" t="s">
        <v>117</v>
      </c>
      <c r="D22" s="14" t="s">
        <v>118</v>
      </c>
      <c r="E22" s="14" t="s">
        <v>119</v>
      </c>
      <c r="F22" s="14" t="s">
        <v>126</v>
      </c>
      <c r="G22" s="14" t="s">
        <v>127</v>
      </c>
      <c r="H22" s="14" t="s">
        <v>128</v>
      </c>
      <c r="I22" s="14" t="s">
        <v>129</v>
      </c>
      <c r="J22" s="14" t="s">
        <v>128</v>
      </c>
      <c r="K22" s="14" t="s">
        <v>129</v>
      </c>
      <c r="L22" s="14" t="s">
        <v>27</v>
      </c>
      <c r="M22" s="14" t="s">
        <v>28</v>
      </c>
      <c r="N22" s="15" t="s">
        <v>130</v>
      </c>
      <c r="O22" s="14" t="s">
        <v>21</v>
      </c>
      <c r="P22" s="14" t="s">
        <v>21</v>
      </c>
      <c r="Q22" s="14" t="s">
        <v>21</v>
      </c>
      <c r="R22" s="14" t="s">
        <v>21</v>
      </c>
      <c r="S22" s="14"/>
      <c r="T22" s="14"/>
    </row>
    <row r="23" outlineLevel="2" hidden="0">
      <c r="A23" s="16" t="s">
        <v>131</v>
      </c>
      <c r="B23" s="14" t="s">
        <v>21</v>
      </c>
      <c r="C23" s="14" t="s">
        <v>117</v>
      </c>
      <c r="D23" s="14" t="s">
        <v>118</v>
      </c>
      <c r="E23" s="14" t="s">
        <v>119</v>
      </c>
      <c r="F23" s="14" t="s">
        <v>132</v>
      </c>
      <c r="G23" s="14" t="s">
        <v>133</v>
      </c>
      <c r="H23" s="14" t="s">
        <v>134</v>
      </c>
      <c r="I23" s="14" t="s">
        <v>135</v>
      </c>
      <c r="J23" s="14" t="s">
        <v>134</v>
      </c>
      <c r="K23" s="14" t="s">
        <v>135</v>
      </c>
      <c r="L23" s="14" t="s">
        <v>136</v>
      </c>
      <c r="M23" s="14" t="s">
        <v>137</v>
      </c>
      <c r="N23" s="15" t="s">
        <v>138</v>
      </c>
      <c r="O23" s="14" t="s">
        <v>21</v>
      </c>
      <c r="P23" s="14" t="s">
        <v>21</v>
      </c>
      <c r="Q23" s="14" t="s">
        <v>21</v>
      </c>
      <c r="R23" s="14" t="s">
        <v>21</v>
      </c>
      <c r="S23" s="14"/>
      <c r="T23" s="14"/>
    </row>
    <row r="24" outlineLevel="2" hidden="0">
      <c r="A24" s="16" t="s">
        <v>139</v>
      </c>
      <c r="B24" s="14" t="s">
        <v>21</v>
      </c>
      <c r="C24" s="14" t="s">
        <v>117</v>
      </c>
      <c r="D24" s="14" t="s">
        <v>118</v>
      </c>
      <c r="E24" s="14" t="s">
        <v>119</v>
      </c>
      <c r="F24" s="14" t="s">
        <v>140</v>
      </c>
      <c r="G24" s="14" t="s">
        <v>141</v>
      </c>
      <c r="H24" s="14" t="s">
        <v>142</v>
      </c>
      <c r="I24" s="14" t="s">
        <v>143</v>
      </c>
      <c r="J24" s="14" t="s">
        <v>142</v>
      </c>
      <c r="K24" s="14" t="s">
        <v>143</v>
      </c>
      <c r="L24" s="14" t="s">
        <v>144</v>
      </c>
      <c r="M24" s="14" t="s">
        <v>145</v>
      </c>
      <c r="N24" s="15" t="s">
        <v>146</v>
      </c>
      <c r="O24" s="14" t="s">
        <v>21</v>
      </c>
      <c r="P24" s="14" t="s">
        <v>21</v>
      </c>
      <c r="Q24" s="14" t="s">
        <v>21</v>
      </c>
      <c r="R24" s="14" t="s">
        <v>21</v>
      </c>
      <c r="S24" s="14"/>
      <c r="T24" s="14"/>
    </row>
    <row r="25" outlineLevel="2" hidden="0">
      <c r="A25" s="19" t="s">
        <v>147</v>
      </c>
      <c r="B25" s="17" t="s">
        <v>21</v>
      </c>
      <c r="C25" s="17" t="s">
        <v>117</v>
      </c>
      <c r="D25" s="17" t="s">
        <v>23</v>
      </c>
      <c r="E25" s="17" t="s">
        <v>119</v>
      </c>
      <c r="F25" s="17" t="s">
        <v>148</v>
      </c>
      <c r="G25" s="17" t="s">
        <v>149</v>
      </c>
      <c r="H25" s="17" t="s">
        <v>122</v>
      </c>
      <c r="I25" s="17" t="s">
        <v>123</v>
      </c>
      <c r="J25" s="17" t="s">
        <v>27</v>
      </c>
      <c r="K25" s="17" t="s">
        <v>28</v>
      </c>
      <c r="L25" s="17"/>
      <c r="M25" s="17"/>
      <c r="N25" s="18" t="s">
        <v>150</v>
      </c>
      <c r="O25" s="17" t="s">
        <v>21</v>
      </c>
      <c r="P25" s="17" t="s">
        <v>21</v>
      </c>
      <c r="Q25" s="17" t="s">
        <v>21</v>
      </c>
      <c r="R25" s="17"/>
      <c r="S25" s="17"/>
      <c r="T25" s="17"/>
    </row>
    <row r="26" outlineLevel="2" hidden="0">
      <c r="A26" s="19" t="s">
        <v>151</v>
      </c>
      <c r="B26" s="17" t="s">
        <v>21</v>
      </c>
      <c r="C26" s="17" t="s">
        <v>117</v>
      </c>
      <c r="D26" s="17" t="s">
        <v>23</v>
      </c>
      <c r="E26" s="17" t="s">
        <v>24</v>
      </c>
      <c r="F26" s="17" t="s">
        <v>152</v>
      </c>
      <c r="G26" s="17" t="s">
        <v>153</v>
      </c>
      <c r="H26" s="17" t="s">
        <v>154</v>
      </c>
      <c r="I26" s="17" t="s">
        <v>155</v>
      </c>
      <c r="J26" s="17" t="s">
        <v>27</v>
      </c>
      <c r="K26" s="17" t="s">
        <v>28</v>
      </c>
      <c r="L26" s="17"/>
      <c r="M26" s="17"/>
      <c r="N26" s="18" t="s">
        <v>156</v>
      </c>
      <c r="O26" s="17" t="s">
        <v>21</v>
      </c>
      <c r="P26" s="17" t="s">
        <v>21</v>
      </c>
      <c r="Q26" s="17" t="s">
        <v>21</v>
      </c>
      <c r="R26" s="17"/>
      <c r="S26" s="17"/>
      <c r="T26" s="17"/>
    </row>
    <row r="27" outlineLevel="2" hidden="0">
      <c r="A27" s="19" t="s">
        <v>157</v>
      </c>
      <c r="B27" s="17" t="s">
        <v>21</v>
      </c>
      <c r="C27" s="17" t="s">
        <v>117</v>
      </c>
      <c r="D27" s="17" t="s">
        <v>23</v>
      </c>
      <c r="E27" s="17" t="s">
        <v>24</v>
      </c>
      <c r="F27" s="17" t="s">
        <v>158</v>
      </c>
      <c r="G27" s="17" t="s">
        <v>159</v>
      </c>
      <c r="H27" s="17" t="s">
        <v>160</v>
      </c>
      <c r="I27" s="17" t="s">
        <v>161</v>
      </c>
      <c r="J27" s="17" t="s">
        <v>27</v>
      </c>
      <c r="K27" s="17" t="s">
        <v>28</v>
      </c>
      <c r="L27" s="17"/>
      <c r="M27" s="17"/>
      <c r="N27" s="18" t="s">
        <v>162</v>
      </c>
      <c r="O27" s="17" t="s">
        <v>21</v>
      </c>
      <c r="P27" s="17" t="s">
        <v>21</v>
      </c>
      <c r="Q27" s="17" t="s">
        <v>21</v>
      </c>
      <c r="R27" s="17"/>
      <c r="S27" s="17"/>
      <c r="T27" s="17"/>
    </row>
    <row r="28" outlineLevel="2" hidden="0">
      <c r="A28" s="19" t="s">
        <v>163</v>
      </c>
      <c r="B28" s="17" t="s">
        <v>21</v>
      </c>
      <c r="C28" s="17" t="s">
        <v>117</v>
      </c>
      <c r="D28" s="17" t="s">
        <v>23</v>
      </c>
      <c r="E28" s="17" t="s">
        <v>24</v>
      </c>
      <c r="F28" s="17" t="s">
        <v>164</v>
      </c>
      <c r="G28" s="17" t="s">
        <v>165</v>
      </c>
      <c r="H28" s="17" t="s">
        <v>166</v>
      </c>
      <c r="I28" s="17" t="s">
        <v>167</v>
      </c>
      <c r="J28" s="17" t="s">
        <v>27</v>
      </c>
      <c r="K28" s="17" t="s">
        <v>28</v>
      </c>
      <c r="L28" s="17"/>
      <c r="M28" s="17"/>
      <c r="N28" s="18" t="s">
        <v>168</v>
      </c>
      <c r="O28" s="17" t="s">
        <v>21</v>
      </c>
      <c r="P28" s="17" t="s">
        <v>21</v>
      </c>
      <c r="Q28" s="17" t="s">
        <v>21</v>
      </c>
      <c r="R28" s="17"/>
      <c r="S28" s="17"/>
      <c r="T28" s="17"/>
    </row>
    <row r="29" outlineLevel="2" hidden="0">
      <c r="A29" s="19" t="s">
        <v>169</v>
      </c>
      <c r="B29" s="17" t="s">
        <v>21</v>
      </c>
      <c r="C29" s="17" t="s">
        <v>117</v>
      </c>
      <c r="D29" s="17" t="s">
        <v>23</v>
      </c>
      <c r="E29" s="17" t="s">
        <v>119</v>
      </c>
      <c r="F29" s="17" t="s">
        <v>170</v>
      </c>
      <c r="G29" s="17" t="s">
        <v>171</v>
      </c>
      <c r="H29" s="17" t="s">
        <v>128</v>
      </c>
      <c r="I29" s="17" t="s">
        <v>129</v>
      </c>
      <c r="J29" s="17" t="s">
        <v>27</v>
      </c>
      <c r="K29" s="17" t="s">
        <v>28</v>
      </c>
      <c r="L29" s="17"/>
      <c r="M29" s="17"/>
      <c r="N29" s="18" t="s">
        <v>172</v>
      </c>
      <c r="O29" s="17" t="s">
        <v>21</v>
      </c>
      <c r="P29" s="17" t="s">
        <v>21</v>
      </c>
      <c r="Q29" s="17" t="s">
        <v>21</v>
      </c>
      <c r="R29" s="17"/>
      <c r="S29" s="17"/>
      <c r="T29" s="17"/>
    </row>
    <row r="30" outlineLevel="2" hidden="0">
      <c r="A30" s="22" t="s">
        <v>173</v>
      </c>
      <c r="B30" s="20" t="s">
        <v>21</v>
      </c>
      <c r="C30" s="20" t="s">
        <v>117</v>
      </c>
      <c r="D30" s="20" t="s">
        <v>31</v>
      </c>
      <c r="E30" s="20" t="s">
        <v>24</v>
      </c>
      <c r="F30" s="20" t="s">
        <v>174</v>
      </c>
      <c r="G30" s="20" t="s">
        <v>175</v>
      </c>
      <c r="H30" s="20" t="s">
        <v>144</v>
      </c>
      <c r="I30" s="20" t="s">
        <v>145</v>
      </c>
      <c r="J30" s="20" t="s">
        <v>27</v>
      </c>
      <c r="K30" s="20" t="s">
        <v>28</v>
      </c>
      <c r="L30" s="20"/>
      <c r="M30" s="20"/>
      <c r="N30" s="21" t="s">
        <v>176</v>
      </c>
      <c r="O30" s="20" t="s">
        <v>21</v>
      </c>
      <c r="P30" s="20" t="s">
        <v>21</v>
      </c>
      <c r="Q30" s="20" t="s">
        <v>21</v>
      </c>
      <c r="R30" s="20"/>
      <c r="S30" s="20"/>
      <c r="T30" s="20"/>
    </row>
    <row r="31" outlineLevel="2" hidden="0">
      <c r="A31" s="22" t="s">
        <v>177</v>
      </c>
      <c r="B31" s="20" t="s">
        <v>21</v>
      </c>
      <c r="C31" s="20" t="s">
        <v>117</v>
      </c>
      <c r="D31" s="20" t="s">
        <v>31</v>
      </c>
      <c r="E31" s="20" t="s">
        <v>24</v>
      </c>
      <c r="F31" s="20" t="s">
        <v>178</v>
      </c>
      <c r="G31" s="20" t="s">
        <v>179</v>
      </c>
      <c r="H31" s="20" t="s">
        <v>144</v>
      </c>
      <c r="I31" s="20" t="s">
        <v>145</v>
      </c>
      <c r="J31" s="20" t="s">
        <v>27</v>
      </c>
      <c r="K31" s="20" t="s">
        <v>28</v>
      </c>
      <c r="L31" s="20"/>
      <c r="M31" s="20"/>
      <c r="N31" s="21" t="s">
        <v>180</v>
      </c>
      <c r="O31" s="20" t="s">
        <v>21</v>
      </c>
      <c r="P31" s="20" t="s">
        <v>21</v>
      </c>
      <c r="Q31" s="20" t="s">
        <v>21</v>
      </c>
      <c r="R31" s="20"/>
      <c r="S31" s="20"/>
      <c r="T31" s="20"/>
    </row>
    <row r="32" outlineLevel="2" hidden="0">
      <c r="A32" s="22" t="s">
        <v>181</v>
      </c>
      <c r="B32" s="20" t="s">
        <v>21</v>
      </c>
      <c r="C32" s="20" t="s">
        <v>117</v>
      </c>
      <c r="D32" s="20" t="s">
        <v>31</v>
      </c>
      <c r="E32" s="20" t="s">
        <v>182</v>
      </c>
      <c r="F32" s="20" t="s">
        <v>183</v>
      </c>
      <c r="G32" s="20" t="s">
        <v>184</v>
      </c>
      <c r="H32" s="20" t="s">
        <v>185</v>
      </c>
      <c r="I32" s="20" t="s">
        <v>186</v>
      </c>
      <c r="J32" s="20" t="s">
        <v>27</v>
      </c>
      <c r="K32" s="20" t="s">
        <v>28</v>
      </c>
      <c r="L32" s="20"/>
      <c r="M32" s="20"/>
      <c r="N32" s="21" t="s">
        <v>187</v>
      </c>
      <c r="O32" s="20" t="s">
        <v>21</v>
      </c>
      <c r="P32" s="20" t="s">
        <v>21</v>
      </c>
      <c r="Q32" s="20" t="s">
        <v>21</v>
      </c>
      <c r="R32" s="20"/>
      <c r="S32" s="20"/>
      <c r="T32" s="20"/>
    </row>
    <row r="33" outlineLevel="2" hidden="0">
      <c r="A33" s="22" t="s">
        <v>188</v>
      </c>
      <c r="B33" s="20" t="s">
        <v>21</v>
      </c>
      <c r="C33" s="20" t="s">
        <v>117</v>
      </c>
      <c r="D33" s="20" t="s">
        <v>31</v>
      </c>
      <c r="E33" s="20" t="s">
        <v>182</v>
      </c>
      <c r="F33" s="20" t="s">
        <v>189</v>
      </c>
      <c r="G33" s="20" t="s">
        <v>190</v>
      </c>
      <c r="H33" s="20" t="s">
        <v>185</v>
      </c>
      <c r="I33" s="20" t="s">
        <v>186</v>
      </c>
      <c r="J33" s="20" t="s">
        <v>27</v>
      </c>
      <c r="K33" s="20" t="s">
        <v>28</v>
      </c>
      <c r="L33" s="20"/>
      <c r="M33" s="20"/>
      <c r="N33" s="21" t="s">
        <v>191</v>
      </c>
      <c r="O33" s="20" t="s">
        <v>21</v>
      </c>
      <c r="P33" s="20" t="s">
        <v>21</v>
      </c>
      <c r="Q33" s="20" t="s">
        <v>21</v>
      </c>
      <c r="R33" s="20"/>
      <c r="S33" s="20"/>
      <c r="T33" s="20"/>
    </row>
    <row r="34" outlineLevel="2" hidden="0">
      <c r="A34" s="22" t="s">
        <v>192</v>
      </c>
      <c r="B34" s="20" t="s">
        <v>21</v>
      </c>
      <c r="C34" s="20" t="s">
        <v>117</v>
      </c>
      <c r="D34" s="20" t="s">
        <v>31</v>
      </c>
      <c r="E34" s="20" t="s">
        <v>24</v>
      </c>
      <c r="F34" s="20" t="s">
        <v>193</v>
      </c>
      <c r="G34" s="20" t="s">
        <v>194</v>
      </c>
      <c r="H34" s="20" t="s">
        <v>136</v>
      </c>
      <c r="I34" s="20" t="s">
        <v>137</v>
      </c>
      <c r="J34" s="20" t="s">
        <v>27</v>
      </c>
      <c r="K34" s="20" t="s">
        <v>28</v>
      </c>
      <c r="L34" s="20"/>
      <c r="M34" s="20"/>
      <c r="N34" s="21" t="s">
        <v>195</v>
      </c>
      <c r="O34" s="20" t="s">
        <v>21</v>
      </c>
      <c r="P34" s="20" t="s">
        <v>21</v>
      </c>
      <c r="Q34" s="20" t="s">
        <v>21</v>
      </c>
      <c r="R34" s="20"/>
      <c r="S34" s="20"/>
      <c r="T34" s="20"/>
    </row>
    <row r="35" outlineLevel="2" hidden="0">
      <c r="A35" s="22" t="s">
        <v>196</v>
      </c>
      <c r="B35" s="20" t="s">
        <v>21</v>
      </c>
      <c r="C35" s="20" t="s">
        <v>117</v>
      </c>
      <c r="D35" s="20" t="s">
        <v>31</v>
      </c>
      <c r="E35" s="20" t="s">
        <v>24</v>
      </c>
      <c r="F35" s="20" t="s">
        <v>197</v>
      </c>
      <c r="G35" s="20" t="s">
        <v>198</v>
      </c>
      <c r="H35" s="20" t="s">
        <v>136</v>
      </c>
      <c r="I35" s="20" t="s">
        <v>137</v>
      </c>
      <c r="J35" s="20" t="s">
        <v>27</v>
      </c>
      <c r="K35" s="20" t="s">
        <v>28</v>
      </c>
      <c r="L35" s="20"/>
      <c r="M35" s="20"/>
      <c r="N35" s="21" t="s">
        <v>199</v>
      </c>
      <c r="O35" s="20" t="s">
        <v>21</v>
      </c>
      <c r="P35" s="20" t="s">
        <v>21</v>
      </c>
      <c r="Q35" s="20" t="s">
        <v>21</v>
      </c>
      <c r="R35" s="20"/>
      <c r="S35" s="20"/>
      <c r="T35" s="20"/>
    </row>
    <row r="36" outlineLevel="2" hidden="0">
      <c r="A36" s="22" t="s">
        <v>200</v>
      </c>
      <c r="B36" s="20" t="s">
        <v>21</v>
      </c>
      <c r="C36" s="20" t="s">
        <v>117</v>
      </c>
      <c r="D36" s="20" t="s">
        <v>31</v>
      </c>
      <c r="E36" s="20" t="s">
        <v>119</v>
      </c>
      <c r="F36" s="20" t="s">
        <v>201</v>
      </c>
      <c r="G36" s="20" t="s">
        <v>149</v>
      </c>
      <c r="H36" s="20" t="s">
        <v>122</v>
      </c>
      <c r="I36" s="20" t="s">
        <v>123</v>
      </c>
      <c r="J36" s="20" t="s">
        <v>27</v>
      </c>
      <c r="K36" s="20" t="s">
        <v>28</v>
      </c>
      <c r="L36" s="20"/>
      <c r="M36" s="20"/>
      <c r="N36" s="21" t="s">
        <v>202</v>
      </c>
      <c r="O36" s="20" t="s">
        <v>21</v>
      </c>
      <c r="P36" s="20" t="s">
        <v>21</v>
      </c>
      <c r="Q36" s="20" t="s">
        <v>21</v>
      </c>
      <c r="R36" s="20"/>
      <c r="S36" s="20"/>
      <c r="T36" s="20"/>
    </row>
    <row r="37" outlineLevel="2" hidden="0">
      <c r="A37" s="22" t="s">
        <v>203</v>
      </c>
      <c r="B37" s="20" t="s">
        <v>21</v>
      </c>
      <c r="C37" s="20" t="s">
        <v>117</v>
      </c>
      <c r="D37" s="20" t="s">
        <v>31</v>
      </c>
      <c r="E37" s="20" t="s">
        <v>119</v>
      </c>
      <c r="F37" s="20" t="s">
        <v>204</v>
      </c>
      <c r="G37" s="20" t="s">
        <v>205</v>
      </c>
      <c r="H37" s="20" t="s">
        <v>122</v>
      </c>
      <c r="I37" s="20" t="s">
        <v>123</v>
      </c>
      <c r="J37" s="20" t="s">
        <v>27</v>
      </c>
      <c r="K37" s="20" t="s">
        <v>28</v>
      </c>
      <c r="L37" s="20"/>
      <c r="M37" s="20"/>
      <c r="N37" s="21" t="s">
        <v>206</v>
      </c>
      <c r="O37" s="20" t="s">
        <v>21</v>
      </c>
      <c r="P37" s="20" t="s">
        <v>21</v>
      </c>
      <c r="Q37" s="20" t="s">
        <v>21</v>
      </c>
      <c r="R37" s="20"/>
      <c r="S37" s="20"/>
      <c r="T37" s="20"/>
    </row>
    <row r="38" outlineLevel="2" hidden="0">
      <c r="A38" s="22" t="s">
        <v>207</v>
      </c>
      <c r="B38" s="20" t="s">
        <v>21</v>
      </c>
      <c r="C38" s="20" t="s">
        <v>117</v>
      </c>
      <c r="D38" s="20" t="s">
        <v>31</v>
      </c>
      <c r="E38" s="20" t="s">
        <v>24</v>
      </c>
      <c r="F38" s="20" t="s">
        <v>208</v>
      </c>
      <c r="G38" s="20" t="s">
        <v>153</v>
      </c>
      <c r="H38" s="20" t="s">
        <v>154</v>
      </c>
      <c r="I38" s="20" t="s">
        <v>155</v>
      </c>
      <c r="J38" s="20" t="s">
        <v>27</v>
      </c>
      <c r="K38" s="20" t="s">
        <v>28</v>
      </c>
      <c r="L38" s="20"/>
      <c r="M38" s="20"/>
      <c r="N38" s="21" t="s">
        <v>209</v>
      </c>
      <c r="O38" s="20" t="s">
        <v>21</v>
      </c>
      <c r="P38" s="20" t="s">
        <v>21</v>
      </c>
      <c r="Q38" s="20" t="s">
        <v>21</v>
      </c>
      <c r="R38" s="20"/>
      <c r="S38" s="20"/>
      <c r="T38" s="20"/>
    </row>
    <row r="39" outlineLevel="2" hidden="0">
      <c r="A39" s="22" t="s">
        <v>210</v>
      </c>
      <c r="B39" s="20" t="s">
        <v>21</v>
      </c>
      <c r="C39" s="20" t="s">
        <v>117</v>
      </c>
      <c r="D39" s="20" t="s">
        <v>31</v>
      </c>
      <c r="E39" s="20" t="s">
        <v>24</v>
      </c>
      <c r="F39" s="20" t="s">
        <v>211</v>
      </c>
      <c r="G39" s="20" t="s">
        <v>212</v>
      </c>
      <c r="H39" s="20" t="s">
        <v>154</v>
      </c>
      <c r="I39" s="20" t="s">
        <v>155</v>
      </c>
      <c r="J39" s="20" t="s">
        <v>27</v>
      </c>
      <c r="K39" s="20" t="s">
        <v>28</v>
      </c>
      <c r="L39" s="20"/>
      <c r="M39" s="20"/>
      <c r="N39" s="21" t="s">
        <v>213</v>
      </c>
      <c r="O39" s="20" t="s">
        <v>21</v>
      </c>
      <c r="P39" s="20" t="s">
        <v>21</v>
      </c>
      <c r="Q39" s="20" t="s">
        <v>21</v>
      </c>
      <c r="R39" s="20"/>
      <c r="S39" s="20"/>
      <c r="T39" s="20"/>
    </row>
    <row r="40" outlineLevel="2" hidden="0">
      <c r="A40" s="22" t="s">
        <v>214</v>
      </c>
      <c r="B40" s="20" t="s">
        <v>21</v>
      </c>
      <c r="C40" s="20" t="s">
        <v>117</v>
      </c>
      <c r="D40" s="20" t="s">
        <v>31</v>
      </c>
      <c r="E40" s="20" t="s">
        <v>24</v>
      </c>
      <c r="F40" s="20" t="s">
        <v>215</v>
      </c>
      <c r="G40" s="20" t="s">
        <v>159</v>
      </c>
      <c r="H40" s="20" t="s">
        <v>160</v>
      </c>
      <c r="I40" s="20" t="s">
        <v>161</v>
      </c>
      <c r="J40" s="20" t="s">
        <v>27</v>
      </c>
      <c r="K40" s="20" t="s">
        <v>28</v>
      </c>
      <c r="L40" s="20"/>
      <c r="M40" s="20"/>
      <c r="N40" s="21" t="s">
        <v>216</v>
      </c>
      <c r="O40" s="20" t="s">
        <v>21</v>
      </c>
      <c r="P40" s="20" t="s">
        <v>21</v>
      </c>
      <c r="Q40" s="20" t="s">
        <v>21</v>
      </c>
      <c r="R40" s="20"/>
      <c r="S40" s="20"/>
      <c r="T40" s="20"/>
    </row>
    <row r="41" outlineLevel="2" hidden="0">
      <c r="A41" s="22" t="s">
        <v>217</v>
      </c>
      <c r="B41" s="20" t="s">
        <v>21</v>
      </c>
      <c r="C41" s="20" t="s">
        <v>117</v>
      </c>
      <c r="D41" s="20" t="s">
        <v>31</v>
      </c>
      <c r="E41" s="20" t="s">
        <v>24</v>
      </c>
      <c r="F41" s="20" t="s">
        <v>218</v>
      </c>
      <c r="G41" s="20" t="s">
        <v>219</v>
      </c>
      <c r="H41" s="20" t="s">
        <v>160</v>
      </c>
      <c r="I41" s="20" t="s">
        <v>161</v>
      </c>
      <c r="J41" s="20" t="s">
        <v>27</v>
      </c>
      <c r="K41" s="20" t="s">
        <v>28</v>
      </c>
      <c r="L41" s="20"/>
      <c r="M41" s="20"/>
      <c r="N41" s="21" t="s">
        <v>220</v>
      </c>
      <c r="O41" s="20" t="s">
        <v>21</v>
      </c>
      <c r="P41" s="20" t="s">
        <v>21</v>
      </c>
      <c r="Q41" s="20" t="s">
        <v>21</v>
      </c>
      <c r="R41" s="20"/>
      <c r="S41" s="20"/>
      <c r="T41" s="20"/>
    </row>
    <row r="42" outlineLevel="2" hidden="0">
      <c r="A42" s="22" t="s">
        <v>221</v>
      </c>
      <c r="B42" s="20" t="s">
        <v>21</v>
      </c>
      <c r="C42" s="20" t="s">
        <v>117</v>
      </c>
      <c r="D42" s="20" t="s">
        <v>31</v>
      </c>
      <c r="E42" s="20" t="s">
        <v>24</v>
      </c>
      <c r="F42" s="20" t="s">
        <v>222</v>
      </c>
      <c r="G42" s="20" t="s">
        <v>165</v>
      </c>
      <c r="H42" s="20" t="s">
        <v>166</v>
      </c>
      <c r="I42" s="20" t="s">
        <v>167</v>
      </c>
      <c r="J42" s="20" t="s">
        <v>27</v>
      </c>
      <c r="K42" s="20" t="s">
        <v>28</v>
      </c>
      <c r="L42" s="20"/>
      <c r="M42" s="20"/>
      <c r="N42" s="21" t="s">
        <v>223</v>
      </c>
      <c r="O42" s="20" t="s">
        <v>21</v>
      </c>
      <c r="P42" s="20" t="s">
        <v>21</v>
      </c>
      <c r="Q42" s="20" t="s">
        <v>21</v>
      </c>
      <c r="R42" s="20"/>
      <c r="S42" s="20"/>
      <c r="T42" s="20"/>
    </row>
    <row r="43" outlineLevel="2" hidden="0">
      <c r="A43" s="22" t="s">
        <v>224</v>
      </c>
      <c r="B43" s="20" t="s">
        <v>21</v>
      </c>
      <c r="C43" s="20" t="s">
        <v>117</v>
      </c>
      <c r="D43" s="20" t="s">
        <v>31</v>
      </c>
      <c r="E43" s="20" t="s">
        <v>24</v>
      </c>
      <c r="F43" s="20" t="s">
        <v>225</v>
      </c>
      <c r="G43" s="20" t="s">
        <v>226</v>
      </c>
      <c r="H43" s="20" t="s">
        <v>166</v>
      </c>
      <c r="I43" s="20" t="s">
        <v>167</v>
      </c>
      <c r="J43" s="20" t="s">
        <v>27</v>
      </c>
      <c r="K43" s="20" t="s">
        <v>28</v>
      </c>
      <c r="L43" s="20"/>
      <c r="M43" s="20"/>
      <c r="N43" s="21" t="s">
        <v>227</v>
      </c>
      <c r="O43" s="20" t="s">
        <v>21</v>
      </c>
      <c r="P43" s="20" t="s">
        <v>21</v>
      </c>
      <c r="Q43" s="20" t="s">
        <v>21</v>
      </c>
      <c r="R43" s="20"/>
      <c r="S43" s="20"/>
      <c r="T43" s="20"/>
    </row>
    <row r="44" outlineLevel="2" hidden="0">
      <c r="A44" s="22" t="s">
        <v>228</v>
      </c>
      <c r="B44" s="20" t="s">
        <v>21</v>
      </c>
      <c r="C44" s="20" t="s">
        <v>117</v>
      </c>
      <c r="D44" s="20" t="s">
        <v>31</v>
      </c>
      <c r="E44" s="20" t="s">
        <v>119</v>
      </c>
      <c r="F44" s="20" t="s">
        <v>229</v>
      </c>
      <c r="G44" s="20" t="s">
        <v>171</v>
      </c>
      <c r="H44" s="20" t="s">
        <v>128</v>
      </c>
      <c r="I44" s="20" t="s">
        <v>129</v>
      </c>
      <c r="J44" s="20" t="s">
        <v>27</v>
      </c>
      <c r="K44" s="20" t="s">
        <v>28</v>
      </c>
      <c r="L44" s="20"/>
      <c r="M44" s="20"/>
      <c r="N44" s="21" t="s">
        <v>230</v>
      </c>
      <c r="O44" s="20" t="s">
        <v>21</v>
      </c>
      <c r="P44" s="20" t="s">
        <v>21</v>
      </c>
      <c r="Q44" s="20" t="s">
        <v>21</v>
      </c>
      <c r="R44" s="20"/>
      <c r="S44" s="20"/>
      <c r="T44" s="20"/>
    </row>
    <row r="45" outlineLevel="2" hidden="0">
      <c r="A45" s="22" t="s">
        <v>231</v>
      </c>
      <c r="B45" s="20" t="s">
        <v>21</v>
      </c>
      <c r="C45" s="20" t="s">
        <v>117</v>
      </c>
      <c r="D45" s="20" t="s">
        <v>31</v>
      </c>
      <c r="E45" s="20" t="s">
        <v>119</v>
      </c>
      <c r="F45" s="20" t="s">
        <v>232</v>
      </c>
      <c r="G45" s="20" t="s">
        <v>233</v>
      </c>
      <c r="H45" s="20" t="s">
        <v>128</v>
      </c>
      <c r="I45" s="20" t="s">
        <v>129</v>
      </c>
      <c r="J45" s="20" t="s">
        <v>27</v>
      </c>
      <c r="K45" s="20" t="s">
        <v>28</v>
      </c>
      <c r="L45" s="20"/>
      <c r="M45" s="20"/>
      <c r="N45" s="21" t="s">
        <v>234</v>
      </c>
      <c r="O45" s="20" t="s">
        <v>21</v>
      </c>
      <c r="P45" s="20" t="s">
        <v>21</v>
      </c>
      <c r="Q45" s="20" t="s">
        <v>21</v>
      </c>
      <c r="R45" s="20"/>
      <c r="S45" s="20"/>
      <c r="T45" s="20"/>
    </row>
    <row r="46" outlineLevel="2" hidden="0">
      <c r="A46" s="22" t="s">
        <v>235</v>
      </c>
      <c r="B46" s="20" t="s">
        <v>21</v>
      </c>
      <c r="C46" s="20" t="s">
        <v>117</v>
      </c>
      <c r="D46" s="20" t="s">
        <v>31</v>
      </c>
      <c r="E46" s="20" t="s">
        <v>119</v>
      </c>
      <c r="F46" s="20" t="s">
        <v>236</v>
      </c>
      <c r="G46" s="20" t="s">
        <v>237</v>
      </c>
      <c r="H46" s="20" t="s">
        <v>134</v>
      </c>
      <c r="I46" s="20" t="s">
        <v>135</v>
      </c>
      <c r="J46" s="20" t="s">
        <v>136</v>
      </c>
      <c r="K46" s="20" t="s">
        <v>137</v>
      </c>
      <c r="L46" s="20"/>
      <c r="M46" s="20"/>
      <c r="N46" s="21" t="s">
        <v>238</v>
      </c>
      <c r="O46" s="20" t="s">
        <v>21</v>
      </c>
      <c r="P46" s="20" t="s">
        <v>21</v>
      </c>
      <c r="Q46" s="20" t="s">
        <v>21</v>
      </c>
      <c r="R46" s="20"/>
      <c r="S46" s="20"/>
      <c r="T46" s="20"/>
    </row>
    <row r="47" outlineLevel="2" hidden="0">
      <c r="A47" s="22" t="s">
        <v>239</v>
      </c>
      <c r="B47" s="20" t="s">
        <v>21</v>
      </c>
      <c r="C47" s="20" t="s">
        <v>117</v>
      </c>
      <c r="D47" s="20" t="s">
        <v>31</v>
      </c>
      <c r="E47" s="20" t="s">
        <v>119</v>
      </c>
      <c r="F47" s="20" t="s">
        <v>240</v>
      </c>
      <c r="G47" s="20" t="s">
        <v>241</v>
      </c>
      <c r="H47" s="20" t="s">
        <v>134</v>
      </c>
      <c r="I47" s="20" t="s">
        <v>135</v>
      </c>
      <c r="J47" s="20" t="s">
        <v>136</v>
      </c>
      <c r="K47" s="20" t="s">
        <v>137</v>
      </c>
      <c r="L47" s="20"/>
      <c r="M47" s="20"/>
      <c r="N47" s="21" t="s">
        <v>242</v>
      </c>
      <c r="O47" s="20" t="s">
        <v>21</v>
      </c>
      <c r="P47" s="20" t="s">
        <v>21</v>
      </c>
      <c r="Q47" s="20" t="s">
        <v>21</v>
      </c>
      <c r="R47" s="20"/>
      <c r="S47" s="20"/>
      <c r="T47" s="20"/>
    </row>
    <row r="48" outlineLevel="2" hidden="0">
      <c r="A48" s="22" t="s">
        <v>243</v>
      </c>
      <c r="B48" s="20" t="s">
        <v>21</v>
      </c>
      <c r="C48" s="20" t="s">
        <v>117</v>
      </c>
      <c r="D48" s="20" t="s">
        <v>31</v>
      </c>
      <c r="E48" s="20" t="s">
        <v>119</v>
      </c>
      <c r="F48" s="20" t="s">
        <v>244</v>
      </c>
      <c r="G48" s="20" t="s">
        <v>245</v>
      </c>
      <c r="H48" s="20" t="s">
        <v>142</v>
      </c>
      <c r="I48" s="20" t="s">
        <v>143</v>
      </c>
      <c r="J48" s="20" t="s">
        <v>144</v>
      </c>
      <c r="K48" s="20" t="s">
        <v>145</v>
      </c>
      <c r="L48" s="20"/>
      <c r="M48" s="20"/>
      <c r="N48" s="21" t="s">
        <v>246</v>
      </c>
      <c r="O48" s="20" t="s">
        <v>21</v>
      </c>
      <c r="P48" s="20" t="s">
        <v>21</v>
      </c>
      <c r="Q48" s="20" t="s">
        <v>21</v>
      </c>
      <c r="R48" s="20"/>
      <c r="S48" s="20"/>
      <c r="T48" s="20"/>
    </row>
    <row r="49" outlineLevel="2" hidden="0">
      <c r="A49" s="22" t="s">
        <v>247</v>
      </c>
      <c r="B49" s="20" t="s">
        <v>21</v>
      </c>
      <c r="C49" s="20" t="s">
        <v>117</v>
      </c>
      <c r="D49" s="20" t="s">
        <v>31</v>
      </c>
      <c r="E49" s="20" t="s">
        <v>119</v>
      </c>
      <c r="F49" s="20" t="s">
        <v>248</v>
      </c>
      <c r="G49" s="20" t="s">
        <v>249</v>
      </c>
      <c r="H49" s="20" t="s">
        <v>142</v>
      </c>
      <c r="I49" s="20" t="s">
        <v>143</v>
      </c>
      <c r="J49" s="20" t="s">
        <v>144</v>
      </c>
      <c r="K49" s="20" t="s">
        <v>145</v>
      </c>
      <c r="L49" s="20"/>
      <c r="M49" s="20"/>
      <c r="N49" s="21" t="s">
        <v>250</v>
      </c>
      <c r="O49" s="20" t="s">
        <v>21</v>
      </c>
      <c r="P49" s="20" t="s">
        <v>21</v>
      </c>
      <c r="Q49" s="20" t="s">
        <v>21</v>
      </c>
      <c r="R49" s="20"/>
      <c r="S49" s="20"/>
      <c r="T49" s="20"/>
    </row>
    <row r="50" outlineLevel="1" hidden="0">
      <c r="A50" s="25" t="s">
        <v>251</v>
      </c>
      <c r="B50" s="23" t="s">
        <v>21</v>
      </c>
      <c r="C50" s="23" t="s">
        <v>252</v>
      </c>
      <c r="D50" s="23" t="s">
        <v>118</v>
      </c>
      <c r="E50" s="23" t="s">
        <v>119</v>
      </c>
      <c r="F50" s="23" t="s">
        <v>253</v>
      </c>
      <c r="G50" s="23" t="s">
        <v>254</v>
      </c>
      <c r="H50" s="23" t="s">
        <v>255</v>
      </c>
      <c r="I50" s="23" t="s">
        <v>256</v>
      </c>
      <c r="J50" s="23" t="s">
        <v>255</v>
      </c>
      <c r="K50" s="23" t="s">
        <v>256</v>
      </c>
      <c r="L50" s="23" t="s">
        <v>257</v>
      </c>
      <c r="M50" s="23" t="s">
        <v>258</v>
      </c>
      <c r="N50" s="24" t="s">
        <v>259</v>
      </c>
      <c r="O50" s="23" t="s">
        <v>21</v>
      </c>
      <c r="P50" s="23" t="s">
        <v>21</v>
      </c>
      <c r="Q50" s="23" t="s">
        <v>21</v>
      </c>
      <c r="R50" s="23" t="s">
        <v>21</v>
      </c>
      <c r="S50" s="23"/>
      <c r="T50" s="23"/>
    </row>
    <row r="51" outlineLevel="2" hidden="0">
      <c r="A51" s="28" t="s">
        <v>260</v>
      </c>
      <c r="B51" s="26" t="s">
        <v>21</v>
      </c>
      <c r="C51" s="26" t="s">
        <v>252</v>
      </c>
      <c r="D51" s="26" t="s">
        <v>31</v>
      </c>
      <c r="E51" s="26" t="s">
        <v>24</v>
      </c>
      <c r="F51" s="26" t="s">
        <v>261</v>
      </c>
      <c r="G51" s="26" t="s">
        <v>262</v>
      </c>
      <c r="H51" s="26" t="s">
        <v>263</v>
      </c>
      <c r="I51" s="26" t="s">
        <v>264</v>
      </c>
      <c r="J51" s="26" t="s">
        <v>257</v>
      </c>
      <c r="K51" s="26" t="s">
        <v>258</v>
      </c>
      <c r="L51" s="26"/>
      <c r="M51" s="26"/>
      <c r="N51" s="27" t="s">
        <v>265</v>
      </c>
      <c r="O51" s="26" t="s">
        <v>21</v>
      </c>
      <c r="P51" s="26" t="s">
        <v>21</v>
      </c>
      <c r="Q51" s="26" t="s">
        <v>21</v>
      </c>
      <c r="R51" s="26"/>
      <c r="S51" s="26"/>
      <c r="T51" s="26"/>
    </row>
    <row r="52" outlineLevel="2" hidden="0">
      <c r="A52" s="28" t="s">
        <v>266</v>
      </c>
      <c r="B52" s="26" t="s">
        <v>21</v>
      </c>
      <c r="C52" s="26" t="s">
        <v>252</v>
      </c>
      <c r="D52" s="26" t="s">
        <v>31</v>
      </c>
      <c r="E52" s="26" t="s">
        <v>24</v>
      </c>
      <c r="F52" s="26" t="s">
        <v>267</v>
      </c>
      <c r="G52" s="26" t="s">
        <v>268</v>
      </c>
      <c r="H52" s="26" t="s">
        <v>263</v>
      </c>
      <c r="I52" s="26" t="s">
        <v>264</v>
      </c>
      <c r="J52" s="26" t="s">
        <v>257</v>
      </c>
      <c r="K52" s="26" t="s">
        <v>258</v>
      </c>
      <c r="L52" s="26"/>
      <c r="M52" s="26"/>
      <c r="N52" s="27" t="s">
        <v>269</v>
      </c>
      <c r="O52" s="26" t="s">
        <v>21</v>
      </c>
      <c r="P52" s="26" t="s">
        <v>21</v>
      </c>
      <c r="Q52" s="26" t="s">
        <v>21</v>
      </c>
      <c r="R52" s="26"/>
      <c r="S52" s="26"/>
      <c r="T52" s="26"/>
    </row>
    <row r="53" outlineLevel="2" hidden="0">
      <c r="A53" s="28" t="s">
        <v>270</v>
      </c>
      <c r="B53" s="26" t="s">
        <v>21</v>
      </c>
      <c r="C53" s="26" t="s">
        <v>252</v>
      </c>
      <c r="D53" s="26" t="s">
        <v>31</v>
      </c>
      <c r="E53" s="26" t="s">
        <v>24</v>
      </c>
      <c r="F53" s="26" t="s">
        <v>271</v>
      </c>
      <c r="G53" s="26" t="s">
        <v>272</v>
      </c>
      <c r="H53" s="26" t="s">
        <v>257</v>
      </c>
      <c r="I53" s="26" t="s">
        <v>258</v>
      </c>
      <c r="J53" s="26" t="s">
        <v>27</v>
      </c>
      <c r="K53" s="26" t="s">
        <v>28</v>
      </c>
      <c r="L53" s="26"/>
      <c r="M53" s="26"/>
      <c r="N53" s="27" t="s">
        <v>273</v>
      </c>
      <c r="O53" s="26" t="s">
        <v>21</v>
      </c>
      <c r="P53" s="26" t="s">
        <v>21</v>
      </c>
      <c r="Q53" s="26" t="s">
        <v>21</v>
      </c>
      <c r="R53" s="26"/>
      <c r="S53" s="26"/>
      <c r="T53" s="26"/>
    </row>
    <row r="54" outlineLevel="2" hidden="0">
      <c r="A54" s="28" t="s">
        <v>274</v>
      </c>
      <c r="B54" s="26" t="s">
        <v>21</v>
      </c>
      <c r="C54" s="26" t="s">
        <v>252</v>
      </c>
      <c r="D54" s="26" t="s">
        <v>31</v>
      </c>
      <c r="E54" s="26" t="s">
        <v>24</v>
      </c>
      <c r="F54" s="26" t="s">
        <v>275</v>
      </c>
      <c r="G54" s="26" t="s">
        <v>276</v>
      </c>
      <c r="H54" s="26" t="s">
        <v>257</v>
      </c>
      <c r="I54" s="26" t="s">
        <v>258</v>
      </c>
      <c r="J54" s="26" t="s">
        <v>27</v>
      </c>
      <c r="K54" s="26" t="s">
        <v>28</v>
      </c>
      <c r="L54" s="26"/>
      <c r="M54" s="26"/>
      <c r="N54" s="27" t="s">
        <v>277</v>
      </c>
      <c r="O54" s="26" t="s">
        <v>21</v>
      </c>
      <c r="P54" s="26" t="s">
        <v>21</v>
      </c>
      <c r="Q54" s="26" t="s">
        <v>21</v>
      </c>
      <c r="R54" s="26"/>
      <c r="S54" s="26"/>
      <c r="T54" s="26"/>
    </row>
    <row r="55" outlineLevel="2" hidden="0">
      <c r="A55" s="28" t="s">
        <v>278</v>
      </c>
      <c r="B55" s="26" t="s">
        <v>21</v>
      </c>
      <c r="C55" s="26" t="s">
        <v>252</v>
      </c>
      <c r="D55" s="26" t="s">
        <v>31</v>
      </c>
      <c r="E55" s="26" t="s">
        <v>53</v>
      </c>
      <c r="F55" s="26" t="s">
        <v>279</v>
      </c>
      <c r="G55" s="26" t="s">
        <v>280</v>
      </c>
      <c r="H55" s="26" t="s">
        <v>281</v>
      </c>
      <c r="I55" s="26" t="s">
        <v>282</v>
      </c>
      <c r="J55" s="26" t="s">
        <v>283</v>
      </c>
      <c r="K55" s="26" t="s">
        <v>284</v>
      </c>
      <c r="L55" s="26"/>
      <c r="M55" s="26"/>
      <c r="N55" s="27" t="s">
        <v>285</v>
      </c>
      <c r="O55" s="26" t="s">
        <v>21</v>
      </c>
      <c r="P55" s="26" t="s">
        <v>21</v>
      </c>
      <c r="Q55" s="26" t="s">
        <v>21</v>
      </c>
      <c r="R55" s="26"/>
      <c r="S55" s="26"/>
      <c r="T55" s="26"/>
    </row>
    <row r="56" outlineLevel="2" hidden="0">
      <c r="A56" s="28" t="s">
        <v>286</v>
      </c>
      <c r="B56" s="26" t="s">
        <v>21</v>
      </c>
      <c r="C56" s="26" t="s">
        <v>252</v>
      </c>
      <c r="D56" s="26" t="s">
        <v>31</v>
      </c>
      <c r="E56" s="26" t="s">
        <v>53</v>
      </c>
      <c r="F56" s="26" t="s">
        <v>287</v>
      </c>
      <c r="G56" s="26" t="s">
        <v>288</v>
      </c>
      <c r="H56" s="26" t="s">
        <v>281</v>
      </c>
      <c r="I56" s="26" t="s">
        <v>282</v>
      </c>
      <c r="J56" s="26" t="s">
        <v>283</v>
      </c>
      <c r="K56" s="26" t="s">
        <v>284</v>
      </c>
      <c r="L56" s="26"/>
      <c r="M56" s="26"/>
      <c r="N56" s="27" t="s">
        <v>289</v>
      </c>
      <c r="O56" s="26" t="s">
        <v>21</v>
      </c>
      <c r="P56" s="26" t="s">
        <v>21</v>
      </c>
      <c r="Q56" s="26" t="s">
        <v>21</v>
      </c>
      <c r="R56" s="26"/>
      <c r="S56" s="26"/>
      <c r="T56" s="26"/>
    </row>
    <row r="57" outlineLevel="2" hidden="0">
      <c r="A57" s="28" t="s">
        <v>290</v>
      </c>
      <c r="B57" s="26" t="s">
        <v>21</v>
      </c>
      <c r="C57" s="26" t="s">
        <v>252</v>
      </c>
      <c r="D57" s="26" t="s">
        <v>31</v>
      </c>
      <c r="E57" s="26" t="s">
        <v>24</v>
      </c>
      <c r="F57" s="26" t="s">
        <v>291</v>
      </c>
      <c r="G57" s="26" t="s">
        <v>292</v>
      </c>
      <c r="H57" s="26" t="s">
        <v>283</v>
      </c>
      <c r="I57" s="26" t="s">
        <v>284</v>
      </c>
      <c r="J57" s="26" t="s">
        <v>257</v>
      </c>
      <c r="K57" s="26" t="s">
        <v>258</v>
      </c>
      <c r="L57" s="26"/>
      <c r="M57" s="26"/>
      <c r="N57" s="27" t="s">
        <v>293</v>
      </c>
      <c r="O57" s="26" t="s">
        <v>21</v>
      </c>
      <c r="P57" s="26" t="s">
        <v>21</v>
      </c>
      <c r="Q57" s="26" t="s">
        <v>21</v>
      </c>
      <c r="R57" s="26"/>
      <c r="S57" s="26"/>
      <c r="T57" s="26"/>
    </row>
    <row r="58" outlineLevel="2" hidden="0">
      <c r="A58" s="28" t="s">
        <v>294</v>
      </c>
      <c r="B58" s="26" t="s">
        <v>21</v>
      </c>
      <c r="C58" s="26" t="s">
        <v>252</v>
      </c>
      <c r="D58" s="26" t="s">
        <v>31</v>
      </c>
      <c r="E58" s="26" t="s">
        <v>24</v>
      </c>
      <c r="F58" s="26" t="s">
        <v>295</v>
      </c>
      <c r="G58" s="26" t="s">
        <v>296</v>
      </c>
      <c r="H58" s="26" t="s">
        <v>283</v>
      </c>
      <c r="I58" s="26" t="s">
        <v>284</v>
      </c>
      <c r="J58" s="26" t="s">
        <v>257</v>
      </c>
      <c r="K58" s="26" t="s">
        <v>258</v>
      </c>
      <c r="L58" s="26"/>
      <c r="M58" s="26"/>
      <c r="N58" s="27" t="s">
        <v>297</v>
      </c>
      <c r="O58" s="26" t="s">
        <v>21</v>
      </c>
      <c r="P58" s="26" t="s">
        <v>21</v>
      </c>
      <c r="Q58" s="26" t="s">
        <v>21</v>
      </c>
      <c r="R58" s="26"/>
      <c r="S58" s="26"/>
      <c r="T58" s="26"/>
    </row>
    <row r="59" outlineLevel="2" hidden="0">
      <c r="A59" s="28" t="s">
        <v>298</v>
      </c>
      <c r="B59" s="26" t="s">
        <v>21</v>
      </c>
      <c r="C59" s="26" t="s">
        <v>252</v>
      </c>
      <c r="D59" s="26" t="s">
        <v>31</v>
      </c>
      <c r="E59" s="26" t="s">
        <v>119</v>
      </c>
      <c r="F59" s="26" t="s">
        <v>299</v>
      </c>
      <c r="G59" s="26" t="s">
        <v>300</v>
      </c>
      <c r="H59" s="26" t="s">
        <v>255</v>
      </c>
      <c r="I59" s="26" t="s">
        <v>256</v>
      </c>
      <c r="J59" s="26" t="s">
        <v>257</v>
      </c>
      <c r="K59" s="26" t="s">
        <v>258</v>
      </c>
      <c r="L59" s="26"/>
      <c r="M59" s="26"/>
      <c r="N59" s="27" t="s">
        <v>301</v>
      </c>
      <c r="O59" s="26" t="s">
        <v>21</v>
      </c>
      <c r="P59" s="26" t="s">
        <v>21</v>
      </c>
      <c r="Q59" s="26" t="s">
        <v>21</v>
      </c>
      <c r="R59" s="26"/>
      <c r="S59" s="26"/>
      <c r="T59" s="26"/>
    </row>
    <row r="60" outlineLevel="2" hidden="0">
      <c r="A60" s="28" t="s">
        <v>302</v>
      </c>
      <c r="B60" s="26" t="s">
        <v>21</v>
      </c>
      <c r="C60" s="26" t="s">
        <v>252</v>
      </c>
      <c r="D60" s="26" t="s">
        <v>31</v>
      </c>
      <c r="E60" s="26" t="s">
        <v>119</v>
      </c>
      <c r="F60" s="26" t="s">
        <v>303</v>
      </c>
      <c r="G60" s="26" t="s">
        <v>304</v>
      </c>
      <c r="H60" s="26" t="s">
        <v>255</v>
      </c>
      <c r="I60" s="26" t="s">
        <v>256</v>
      </c>
      <c r="J60" s="26" t="s">
        <v>257</v>
      </c>
      <c r="K60" s="26" t="s">
        <v>258</v>
      </c>
      <c r="L60" s="26"/>
      <c r="M60" s="26"/>
      <c r="N60" s="27" t="s">
        <v>305</v>
      </c>
      <c r="O60" s="26" t="s">
        <v>21</v>
      </c>
      <c r="P60" s="26" t="s">
        <v>21</v>
      </c>
      <c r="Q60" s="26" t="s">
        <v>21</v>
      </c>
      <c r="R60" s="26"/>
      <c r="S60" s="26"/>
      <c r="T60" s="26"/>
    </row>
    <row r="61" outlineLevel="2" hidden="0">
      <c r="A61" s="28" t="s">
        <v>306</v>
      </c>
      <c r="B61" s="26" t="s">
        <v>21</v>
      </c>
      <c r="C61" s="26" t="s">
        <v>252</v>
      </c>
      <c r="D61" s="26" t="s">
        <v>31</v>
      </c>
      <c r="E61" s="26" t="s">
        <v>182</v>
      </c>
      <c r="F61" s="26" t="s">
        <v>307</v>
      </c>
      <c r="G61" s="26" t="s">
        <v>308</v>
      </c>
      <c r="H61" s="26" t="s">
        <v>309</v>
      </c>
      <c r="I61" s="26" t="s">
        <v>310</v>
      </c>
      <c r="J61" s="26" t="s">
        <v>257</v>
      </c>
      <c r="K61" s="26" t="s">
        <v>258</v>
      </c>
      <c r="L61" s="26" t="s">
        <v>263</v>
      </c>
      <c r="M61" s="26" t="s">
        <v>264</v>
      </c>
      <c r="N61" s="27" t="s">
        <v>311</v>
      </c>
      <c r="O61" s="26" t="s">
        <v>21</v>
      </c>
      <c r="P61" s="26" t="s">
        <v>21</v>
      </c>
      <c r="Q61" s="26" t="s">
        <v>21</v>
      </c>
      <c r="R61" s="26" t="s">
        <v>21</v>
      </c>
      <c r="S61" s="26"/>
      <c r="T61" s="26"/>
    </row>
    <row r="62" outlineLevel="2" hidden="0">
      <c r="A62" s="28" t="s">
        <v>312</v>
      </c>
      <c r="B62" s="26" t="s">
        <v>21</v>
      </c>
      <c r="C62" s="26" t="s">
        <v>252</v>
      </c>
      <c r="D62" s="26" t="s">
        <v>31</v>
      </c>
      <c r="E62" s="26" t="s">
        <v>182</v>
      </c>
      <c r="F62" s="26" t="s">
        <v>313</v>
      </c>
      <c r="G62" s="26" t="s">
        <v>314</v>
      </c>
      <c r="H62" s="26" t="s">
        <v>309</v>
      </c>
      <c r="I62" s="26" t="s">
        <v>310</v>
      </c>
      <c r="J62" s="26" t="s">
        <v>257</v>
      </c>
      <c r="K62" s="26" t="s">
        <v>258</v>
      </c>
      <c r="L62" s="26" t="s">
        <v>263</v>
      </c>
      <c r="M62" s="26" t="s">
        <v>264</v>
      </c>
      <c r="N62" s="27" t="s">
        <v>315</v>
      </c>
      <c r="O62" s="26" t="s">
        <v>21</v>
      </c>
      <c r="P62" s="26" t="s">
        <v>21</v>
      </c>
      <c r="Q62" s="26" t="s">
        <v>21</v>
      </c>
      <c r="R62" s="26" t="s">
        <v>21</v>
      </c>
      <c r="S62" s="26"/>
      <c r="T62" s="26"/>
    </row>
    <row r="63" outlineLevel="1" hidden="0">
      <c r="A63" s="31" t="s">
        <v>316</v>
      </c>
      <c r="B63" s="29" t="s">
        <v>21</v>
      </c>
      <c r="C63" s="29" t="s">
        <v>317</v>
      </c>
      <c r="D63" s="29" t="s">
        <v>118</v>
      </c>
      <c r="E63" s="29" t="s">
        <v>318</v>
      </c>
      <c r="F63" s="29" t="s">
        <v>319</v>
      </c>
      <c r="G63" s="29" t="s">
        <v>320</v>
      </c>
      <c r="H63" s="29" t="s">
        <v>321</v>
      </c>
      <c r="I63" s="29" t="s">
        <v>322</v>
      </c>
      <c r="J63" s="29" t="s">
        <v>321</v>
      </c>
      <c r="K63" s="29" t="s">
        <v>322</v>
      </c>
      <c r="L63" s="29" t="s">
        <v>27</v>
      </c>
      <c r="M63" s="29" t="s">
        <v>28</v>
      </c>
      <c r="N63" s="30" t="s">
        <v>323</v>
      </c>
      <c r="O63" s="29" t="s">
        <v>21</v>
      </c>
      <c r="P63" s="29" t="s">
        <v>21</v>
      </c>
      <c r="Q63" s="29" t="s">
        <v>21</v>
      </c>
      <c r="R63" s="29" t="s">
        <v>21</v>
      </c>
      <c r="S63" s="29"/>
      <c r="T63" s="29"/>
    </row>
    <row r="64" outlineLevel="1" hidden="0">
      <c r="A64" s="34" t="s">
        <v>324</v>
      </c>
      <c r="B64" s="32" t="s">
        <v>21</v>
      </c>
      <c r="C64" s="32" t="s">
        <v>317</v>
      </c>
      <c r="D64" s="32" t="s">
        <v>23</v>
      </c>
      <c r="E64" s="32" t="s">
        <v>24</v>
      </c>
      <c r="F64" s="32" t="s">
        <v>325</v>
      </c>
      <c r="G64" s="32" t="s">
        <v>326</v>
      </c>
      <c r="H64" s="32" t="s">
        <v>327</v>
      </c>
      <c r="I64" s="32" t="s">
        <v>328</v>
      </c>
      <c r="J64" s="32" t="s">
        <v>27</v>
      </c>
      <c r="K64" s="32" t="s">
        <v>28</v>
      </c>
      <c r="L64" s="32"/>
      <c r="M64" s="32"/>
      <c r="N64" s="33" t="s">
        <v>329</v>
      </c>
      <c r="O64" s="32" t="s">
        <v>21</v>
      </c>
      <c r="P64" s="32" t="s">
        <v>21</v>
      </c>
      <c r="Q64" s="32" t="s">
        <v>21</v>
      </c>
      <c r="R64" s="32"/>
      <c r="S64" s="32"/>
      <c r="T64" s="32"/>
    </row>
    <row r="65" outlineLevel="2" hidden="0">
      <c r="A65" s="37" t="s">
        <v>330</v>
      </c>
      <c r="B65" s="35" t="s">
        <v>21</v>
      </c>
      <c r="C65" s="35" t="s">
        <v>317</v>
      </c>
      <c r="D65" s="35" t="s">
        <v>31</v>
      </c>
      <c r="E65" s="35" t="s">
        <v>24</v>
      </c>
      <c r="F65" s="35" t="s">
        <v>331</v>
      </c>
      <c r="G65" s="35" t="s">
        <v>326</v>
      </c>
      <c r="H65" s="35" t="s">
        <v>327</v>
      </c>
      <c r="I65" s="35" t="s">
        <v>328</v>
      </c>
      <c r="J65" s="35" t="s">
        <v>27</v>
      </c>
      <c r="K65" s="35" t="s">
        <v>28</v>
      </c>
      <c r="L65" s="35"/>
      <c r="M65" s="35"/>
      <c r="N65" s="36" t="s">
        <v>332</v>
      </c>
      <c r="O65" s="35" t="s">
        <v>21</v>
      </c>
      <c r="P65" s="35" t="s">
        <v>21</v>
      </c>
      <c r="Q65" s="35" t="s">
        <v>21</v>
      </c>
      <c r="R65" s="35"/>
      <c r="S65" s="35"/>
      <c r="T65" s="35"/>
    </row>
    <row r="66" outlineLevel="2" hidden="0">
      <c r="A66" s="37" t="s">
        <v>333</v>
      </c>
      <c r="B66" s="35" t="s">
        <v>21</v>
      </c>
      <c r="C66" s="35" t="s">
        <v>317</v>
      </c>
      <c r="D66" s="35" t="s">
        <v>31</v>
      </c>
      <c r="E66" s="35" t="s">
        <v>24</v>
      </c>
      <c r="F66" s="35" t="s">
        <v>334</v>
      </c>
      <c r="G66" s="35" t="s">
        <v>335</v>
      </c>
      <c r="H66" s="35" t="s">
        <v>327</v>
      </c>
      <c r="I66" s="35" t="s">
        <v>328</v>
      </c>
      <c r="J66" s="35" t="s">
        <v>27</v>
      </c>
      <c r="K66" s="35" t="s">
        <v>28</v>
      </c>
      <c r="L66" s="35"/>
      <c r="M66" s="35"/>
      <c r="N66" s="36" t="s">
        <v>336</v>
      </c>
      <c r="O66" s="35" t="s">
        <v>21</v>
      </c>
      <c r="P66" s="35" t="s">
        <v>21</v>
      </c>
      <c r="Q66" s="35" t="s">
        <v>21</v>
      </c>
      <c r="R66" s="35"/>
      <c r="S66" s="35"/>
      <c r="T66" s="35"/>
    </row>
    <row r="67" outlineLevel="2" hidden="0">
      <c r="A67" s="37" t="s">
        <v>337</v>
      </c>
      <c r="B67" s="35" t="s">
        <v>21</v>
      </c>
      <c r="C67" s="35" t="s">
        <v>317</v>
      </c>
      <c r="D67" s="35" t="s">
        <v>31</v>
      </c>
      <c r="E67" s="35" t="s">
        <v>318</v>
      </c>
      <c r="F67" s="35" t="s">
        <v>338</v>
      </c>
      <c r="G67" s="35" t="s">
        <v>339</v>
      </c>
      <c r="H67" s="35" t="s">
        <v>321</v>
      </c>
      <c r="I67" s="35" t="s">
        <v>322</v>
      </c>
      <c r="J67" s="35" t="s">
        <v>27</v>
      </c>
      <c r="K67" s="35" t="s">
        <v>28</v>
      </c>
      <c r="L67" s="35"/>
      <c r="M67" s="35"/>
      <c r="N67" s="36" t="s">
        <v>340</v>
      </c>
      <c r="O67" s="35" t="s">
        <v>21</v>
      </c>
      <c r="P67" s="35" t="s">
        <v>21</v>
      </c>
      <c r="Q67" s="35" t="s">
        <v>21</v>
      </c>
      <c r="R67" s="35"/>
      <c r="S67" s="35"/>
      <c r="T67" s="35"/>
    </row>
    <row r="68" outlineLevel="2" hidden="0">
      <c r="A68" s="37" t="s">
        <v>341</v>
      </c>
      <c r="B68" s="35" t="s">
        <v>21</v>
      </c>
      <c r="C68" s="35" t="s">
        <v>317</v>
      </c>
      <c r="D68" s="35" t="s">
        <v>31</v>
      </c>
      <c r="E68" s="35" t="s">
        <v>318</v>
      </c>
      <c r="F68" s="35" t="s">
        <v>342</v>
      </c>
      <c r="G68" s="35" t="s">
        <v>343</v>
      </c>
      <c r="H68" s="35" t="s">
        <v>321</v>
      </c>
      <c r="I68" s="35" t="s">
        <v>322</v>
      </c>
      <c r="J68" s="35" t="s">
        <v>27</v>
      </c>
      <c r="K68" s="35" t="s">
        <v>28</v>
      </c>
      <c r="L68" s="35"/>
      <c r="M68" s="35"/>
      <c r="N68" s="36" t="s">
        <v>344</v>
      </c>
      <c r="O68" s="35" t="s">
        <v>21</v>
      </c>
      <c r="P68" s="35" t="s">
        <v>21</v>
      </c>
      <c r="Q68" s="35" t="s">
        <v>21</v>
      </c>
      <c r="R68" s="35"/>
      <c r="S68" s="35"/>
      <c r="T68" s="35"/>
    </row>
    <row r="69" outlineLevel="2" hidden="0">
      <c r="A69" s="37" t="s">
        <v>345</v>
      </c>
      <c r="B69" s="35" t="s">
        <v>21</v>
      </c>
      <c r="C69" s="35" t="s">
        <v>317</v>
      </c>
      <c r="D69" s="35" t="s">
        <v>31</v>
      </c>
      <c r="E69" s="35" t="s">
        <v>24</v>
      </c>
      <c r="F69" s="35" t="s">
        <v>346</v>
      </c>
      <c r="G69" s="35" t="s">
        <v>347</v>
      </c>
      <c r="H69" s="35" t="s">
        <v>348</v>
      </c>
      <c r="I69" s="35" t="s">
        <v>349</v>
      </c>
      <c r="J69" s="35" t="s">
        <v>27</v>
      </c>
      <c r="K69" s="35" t="s">
        <v>28</v>
      </c>
      <c r="L69" s="35"/>
      <c r="M69" s="35"/>
      <c r="N69" s="36" t="s">
        <v>350</v>
      </c>
      <c r="O69" s="35" t="s">
        <v>21</v>
      </c>
      <c r="P69" s="35" t="s">
        <v>21</v>
      </c>
      <c r="Q69" s="35" t="s">
        <v>21</v>
      </c>
      <c r="R69" s="35"/>
      <c r="S69" s="35"/>
      <c r="T69" s="35"/>
    </row>
    <row r="70" outlineLevel="2" hidden="0">
      <c r="A70" s="37" t="s">
        <v>351</v>
      </c>
      <c r="B70" s="35" t="s">
        <v>21</v>
      </c>
      <c r="C70" s="35" t="s">
        <v>317</v>
      </c>
      <c r="D70" s="35" t="s">
        <v>31</v>
      </c>
      <c r="E70" s="35" t="s">
        <v>24</v>
      </c>
      <c r="F70" s="35" t="s">
        <v>352</v>
      </c>
      <c r="G70" s="35" t="s">
        <v>353</v>
      </c>
      <c r="H70" s="35" t="s">
        <v>348</v>
      </c>
      <c r="I70" s="35" t="s">
        <v>349</v>
      </c>
      <c r="J70" s="35" t="s">
        <v>27</v>
      </c>
      <c r="K70" s="35" t="s">
        <v>28</v>
      </c>
      <c r="L70" s="35"/>
      <c r="M70" s="35"/>
      <c r="N70" s="36" t="s">
        <v>354</v>
      </c>
      <c r="O70" s="35" t="s">
        <v>21</v>
      </c>
      <c r="P70" s="35" t="s">
        <v>21</v>
      </c>
      <c r="Q70" s="35" t="s">
        <v>21</v>
      </c>
      <c r="R70" s="35"/>
      <c r="S70" s="35"/>
      <c r="T70" s="35"/>
    </row>
    <row r="71" outlineLevel="2" hidden="0">
      <c r="A71" s="37" t="s">
        <v>355</v>
      </c>
      <c r="B71" s="35" t="s">
        <v>21</v>
      </c>
      <c r="C71" s="35" t="s">
        <v>317</v>
      </c>
      <c r="D71" s="35" t="s">
        <v>31</v>
      </c>
      <c r="E71" s="35" t="s">
        <v>182</v>
      </c>
      <c r="F71" s="35" t="s">
        <v>356</v>
      </c>
      <c r="G71" s="35" t="s">
        <v>357</v>
      </c>
      <c r="H71" s="35" t="s">
        <v>358</v>
      </c>
      <c r="I71" s="35" t="s">
        <v>359</v>
      </c>
      <c r="J71" s="35" t="s">
        <v>27</v>
      </c>
      <c r="K71" s="35" t="s">
        <v>28</v>
      </c>
      <c r="L71" s="35"/>
      <c r="M71" s="35"/>
      <c r="N71" s="36" t="s">
        <v>360</v>
      </c>
      <c r="O71" s="35" t="s">
        <v>21</v>
      </c>
      <c r="P71" s="35" t="s">
        <v>21</v>
      </c>
      <c r="Q71" s="35" t="s">
        <v>21</v>
      </c>
      <c r="R71" s="35"/>
      <c r="S71" s="35"/>
      <c r="T71" s="35"/>
    </row>
    <row r="72" outlineLevel="2" hidden="0">
      <c r="A72" s="37" t="s">
        <v>361</v>
      </c>
      <c r="B72" s="35" t="s">
        <v>21</v>
      </c>
      <c r="C72" s="35" t="s">
        <v>317</v>
      </c>
      <c r="D72" s="35" t="s">
        <v>31</v>
      </c>
      <c r="E72" s="35" t="s">
        <v>182</v>
      </c>
      <c r="F72" s="35" t="s">
        <v>362</v>
      </c>
      <c r="G72" s="35" t="s">
        <v>363</v>
      </c>
      <c r="H72" s="35" t="s">
        <v>358</v>
      </c>
      <c r="I72" s="35" t="s">
        <v>359</v>
      </c>
      <c r="J72" s="35" t="s">
        <v>27</v>
      </c>
      <c r="K72" s="35" t="s">
        <v>28</v>
      </c>
      <c r="L72" s="35"/>
      <c r="M72" s="35"/>
      <c r="N72" s="36" t="s">
        <v>364</v>
      </c>
      <c r="O72" s="35" t="s">
        <v>21</v>
      </c>
      <c r="P72" s="35" t="s">
        <v>21</v>
      </c>
      <c r="Q72" s="35" t="s">
        <v>21</v>
      </c>
      <c r="R72" s="35"/>
      <c r="S72" s="35"/>
      <c r="T72" s="35"/>
    </row>
    <row r="73" outlineLevel="2" hidden="0">
      <c r="A73" s="37" t="s">
        <v>365</v>
      </c>
      <c r="B73" s="35" t="s">
        <v>21</v>
      </c>
      <c r="C73" s="35" t="s">
        <v>317</v>
      </c>
      <c r="D73" s="35" t="s">
        <v>31</v>
      </c>
      <c r="E73" s="35" t="s">
        <v>182</v>
      </c>
      <c r="F73" s="35" t="s">
        <v>366</v>
      </c>
      <c r="G73" s="35" t="s">
        <v>367</v>
      </c>
      <c r="H73" s="35" t="s">
        <v>368</v>
      </c>
      <c r="I73" s="35" t="s">
        <v>369</v>
      </c>
      <c r="J73" s="35" t="s">
        <v>348</v>
      </c>
      <c r="K73" s="35" t="s">
        <v>349</v>
      </c>
      <c r="L73" s="35"/>
      <c r="M73" s="35"/>
      <c r="N73" s="36" t="s">
        <v>370</v>
      </c>
      <c r="O73" s="35" t="s">
        <v>21</v>
      </c>
      <c r="P73" s="35" t="s">
        <v>21</v>
      </c>
      <c r="Q73" s="35" t="s">
        <v>21</v>
      </c>
      <c r="R73" s="35"/>
      <c r="S73" s="35"/>
      <c r="T73" s="35"/>
    </row>
    <row r="74" outlineLevel="2" hidden="0">
      <c r="A74" s="37" t="s">
        <v>371</v>
      </c>
      <c r="B74" s="35" t="s">
        <v>21</v>
      </c>
      <c r="C74" s="35" t="s">
        <v>317</v>
      </c>
      <c r="D74" s="35" t="s">
        <v>31</v>
      </c>
      <c r="E74" s="35" t="s">
        <v>182</v>
      </c>
      <c r="F74" s="35" t="s">
        <v>372</v>
      </c>
      <c r="G74" s="35" t="s">
        <v>373</v>
      </c>
      <c r="H74" s="35" t="s">
        <v>368</v>
      </c>
      <c r="I74" s="35" t="s">
        <v>369</v>
      </c>
      <c r="J74" s="35" t="s">
        <v>348</v>
      </c>
      <c r="K74" s="35" t="s">
        <v>349</v>
      </c>
      <c r="L74" s="35"/>
      <c r="M74" s="35"/>
      <c r="N74" s="36" t="s">
        <v>374</v>
      </c>
      <c r="O74" s="35" t="s">
        <v>21</v>
      </c>
      <c r="P74" s="35" t="s">
        <v>21</v>
      </c>
      <c r="Q74" s="35" t="s">
        <v>21</v>
      </c>
      <c r="R74" s="35"/>
      <c r="S74" s="35"/>
      <c r="T74" s="35"/>
    </row>
    <row r="75" outlineLevel="2" hidden="0">
      <c r="A75" s="40" t="s">
        <v>375</v>
      </c>
      <c r="B75" s="38" t="s">
        <v>21</v>
      </c>
      <c r="C75" s="38" t="s">
        <v>376</v>
      </c>
      <c r="D75" s="38" t="s">
        <v>118</v>
      </c>
      <c r="E75" s="38" t="s">
        <v>119</v>
      </c>
      <c r="F75" s="38" t="s">
        <v>377</v>
      </c>
      <c r="G75" s="38" t="s">
        <v>378</v>
      </c>
      <c r="H75" s="38" t="s">
        <v>379</v>
      </c>
      <c r="I75" s="38" t="s">
        <v>380</v>
      </c>
      <c r="J75" s="38" t="s">
        <v>379</v>
      </c>
      <c r="K75" s="38" t="s">
        <v>380</v>
      </c>
      <c r="L75" s="38" t="s">
        <v>27</v>
      </c>
      <c r="M75" s="38" t="s">
        <v>28</v>
      </c>
      <c r="N75" s="39" t="s">
        <v>381</v>
      </c>
      <c r="O75" s="38" t="s">
        <v>21</v>
      </c>
      <c r="P75" s="38" t="s">
        <v>21</v>
      </c>
      <c r="Q75" s="38" t="s">
        <v>21</v>
      </c>
      <c r="R75" s="38" t="s">
        <v>21</v>
      </c>
      <c r="S75" s="38"/>
      <c r="T75" s="38"/>
    </row>
    <row r="76" outlineLevel="2" hidden="0">
      <c r="A76" s="40" t="s">
        <v>382</v>
      </c>
      <c r="B76" s="38" t="s">
        <v>21</v>
      </c>
      <c r="C76" s="38" t="s">
        <v>376</v>
      </c>
      <c r="D76" s="38" t="s">
        <v>118</v>
      </c>
      <c r="E76" s="38" t="s">
        <v>119</v>
      </c>
      <c r="F76" s="38" t="s">
        <v>383</v>
      </c>
      <c r="G76" s="38" t="s">
        <v>384</v>
      </c>
      <c r="H76" s="38" t="s">
        <v>385</v>
      </c>
      <c r="I76" s="38" t="s">
        <v>386</v>
      </c>
      <c r="J76" s="38" t="s">
        <v>385</v>
      </c>
      <c r="K76" s="38" t="s">
        <v>386</v>
      </c>
      <c r="L76" s="38" t="s">
        <v>27</v>
      </c>
      <c r="M76" s="38" t="s">
        <v>28</v>
      </c>
      <c r="N76" s="39" t="s">
        <v>387</v>
      </c>
      <c r="O76" s="38" t="s">
        <v>21</v>
      </c>
      <c r="P76" s="38" t="s">
        <v>21</v>
      </c>
      <c r="Q76" s="38" t="s">
        <v>21</v>
      </c>
      <c r="R76" s="38" t="s">
        <v>21</v>
      </c>
      <c r="S76" s="38"/>
      <c r="T76" s="38"/>
    </row>
    <row r="77" outlineLevel="2" hidden="0">
      <c r="A77" s="43" t="s">
        <v>388</v>
      </c>
      <c r="B77" s="41" t="s">
        <v>21</v>
      </c>
      <c r="C77" s="41" t="s">
        <v>376</v>
      </c>
      <c r="D77" s="41" t="s">
        <v>23</v>
      </c>
      <c r="E77" s="41" t="s">
        <v>24</v>
      </c>
      <c r="F77" s="41" t="s">
        <v>389</v>
      </c>
      <c r="G77" s="41" t="s">
        <v>390</v>
      </c>
      <c r="H77" s="41" t="s">
        <v>391</v>
      </c>
      <c r="I77" s="41" t="s">
        <v>392</v>
      </c>
      <c r="J77" s="41" t="s">
        <v>27</v>
      </c>
      <c r="K77" s="41" t="s">
        <v>28</v>
      </c>
      <c r="L77" s="41"/>
      <c r="M77" s="41"/>
      <c r="N77" s="42" t="s">
        <v>393</v>
      </c>
      <c r="O77" s="41" t="s">
        <v>21</v>
      </c>
      <c r="P77" s="41" t="s">
        <v>21</v>
      </c>
      <c r="Q77" s="41" t="s">
        <v>21</v>
      </c>
      <c r="R77" s="41"/>
      <c r="S77" s="41"/>
      <c r="T77" s="41"/>
    </row>
    <row r="78" outlineLevel="2" hidden="0">
      <c r="A78" s="43" t="s">
        <v>394</v>
      </c>
      <c r="B78" s="41" t="s">
        <v>21</v>
      </c>
      <c r="C78" s="41" t="s">
        <v>376</v>
      </c>
      <c r="D78" s="41" t="s">
        <v>23</v>
      </c>
      <c r="E78" s="41" t="s">
        <v>24</v>
      </c>
      <c r="F78" s="41" t="s">
        <v>395</v>
      </c>
      <c r="G78" s="41" t="s">
        <v>396</v>
      </c>
      <c r="H78" s="41" t="s">
        <v>397</v>
      </c>
      <c r="I78" s="41" t="s">
        <v>398</v>
      </c>
      <c r="J78" s="41" t="s">
        <v>27</v>
      </c>
      <c r="K78" s="41" t="s">
        <v>28</v>
      </c>
      <c r="L78" s="41"/>
      <c r="M78" s="41"/>
      <c r="N78" s="42" t="s">
        <v>399</v>
      </c>
      <c r="O78" s="41" t="s">
        <v>21</v>
      </c>
      <c r="P78" s="41" t="s">
        <v>21</v>
      </c>
      <c r="Q78" s="41" t="s">
        <v>21</v>
      </c>
      <c r="R78" s="41"/>
      <c r="S78" s="41"/>
      <c r="T78" s="41"/>
    </row>
    <row r="79" outlineLevel="2" hidden="0">
      <c r="A79" s="43" t="s">
        <v>400</v>
      </c>
      <c r="B79" s="41" t="s">
        <v>21</v>
      </c>
      <c r="C79" s="41" t="s">
        <v>376</v>
      </c>
      <c r="D79" s="41" t="s">
        <v>23</v>
      </c>
      <c r="E79" s="41" t="s">
        <v>24</v>
      </c>
      <c r="F79" s="41" t="s">
        <v>401</v>
      </c>
      <c r="G79" s="41" t="s">
        <v>402</v>
      </c>
      <c r="H79" s="41" t="s">
        <v>403</v>
      </c>
      <c r="I79" s="41" t="s">
        <v>404</v>
      </c>
      <c r="J79" s="41" t="s">
        <v>27</v>
      </c>
      <c r="K79" s="41" t="s">
        <v>28</v>
      </c>
      <c r="L79" s="41"/>
      <c r="M79" s="41"/>
      <c r="N79" s="42" t="s">
        <v>405</v>
      </c>
      <c r="O79" s="41" t="s">
        <v>21</v>
      </c>
      <c r="P79" s="41" t="s">
        <v>21</v>
      </c>
      <c r="Q79" s="41" t="s">
        <v>21</v>
      </c>
      <c r="R79" s="41"/>
      <c r="S79" s="41"/>
      <c r="T79" s="41"/>
    </row>
    <row r="80" outlineLevel="2" hidden="0">
      <c r="A80" s="43" t="s">
        <v>406</v>
      </c>
      <c r="B80" s="41" t="s">
        <v>21</v>
      </c>
      <c r="C80" s="41" t="s">
        <v>376</v>
      </c>
      <c r="D80" s="41" t="s">
        <v>23</v>
      </c>
      <c r="E80" s="41" t="s">
        <v>24</v>
      </c>
      <c r="F80" s="41" t="s">
        <v>407</v>
      </c>
      <c r="G80" s="41" t="s">
        <v>408</v>
      </c>
      <c r="H80" s="41" t="s">
        <v>409</v>
      </c>
      <c r="I80" s="41" t="s">
        <v>410</v>
      </c>
      <c r="J80" s="41" t="s">
        <v>27</v>
      </c>
      <c r="K80" s="41" t="s">
        <v>28</v>
      </c>
      <c r="L80" s="41"/>
      <c r="M80" s="41"/>
      <c r="N80" s="42" t="s">
        <v>411</v>
      </c>
      <c r="O80" s="41" t="s">
        <v>21</v>
      </c>
      <c r="P80" s="41" t="s">
        <v>21</v>
      </c>
      <c r="Q80" s="41" t="s">
        <v>21</v>
      </c>
      <c r="R80" s="41"/>
      <c r="S80" s="41"/>
      <c r="T80" s="41"/>
    </row>
    <row r="81" outlineLevel="2" hidden="0">
      <c r="A81" s="43" t="s">
        <v>412</v>
      </c>
      <c r="B81" s="41" t="s">
        <v>21</v>
      </c>
      <c r="C81" s="41" t="s">
        <v>376</v>
      </c>
      <c r="D81" s="41" t="s">
        <v>23</v>
      </c>
      <c r="E81" s="41" t="s">
        <v>24</v>
      </c>
      <c r="F81" s="41" t="s">
        <v>413</v>
      </c>
      <c r="G81" s="41" t="s">
        <v>414</v>
      </c>
      <c r="H81" s="41" t="s">
        <v>415</v>
      </c>
      <c r="I81" s="41" t="s">
        <v>416</v>
      </c>
      <c r="J81" s="41" t="s">
        <v>27</v>
      </c>
      <c r="K81" s="41" t="s">
        <v>28</v>
      </c>
      <c r="L81" s="41"/>
      <c r="M81" s="41"/>
      <c r="N81" s="42" t="s">
        <v>417</v>
      </c>
      <c r="O81" s="41" t="s">
        <v>21</v>
      </c>
      <c r="P81" s="41" t="s">
        <v>21</v>
      </c>
      <c r="Q81" s="41" t="s">
        <v>21</v>
      </c>
      <c r="R81" s="41"/>
      <c r="S81" s="41"/>
      <c r="T81" s="41"/>
    </row>
    <row r="82" outlineLevel="2" hidden="0">
      <c r="A82" s="43" t="s">
        <v>418</v>
      </c>
      <c r="B82" s="41" t="s">
        <v>21</v>
      </c>
      <c r="C82" s="41" t="s">
        <v>376</v>
      </c>
      <c r="D82" s="41" t="s">
        <v>23</v>
      </c>
      <c r="E82" s="41" t="s">
        <v>24</v>
      </c>
      <c r="F82" s="41" t="s">
        <v>419</v>
      </c>
      <c r="G82" s="41" t="s">
        <v>420</v>
      </c>
      <c r="H82" s="41" t="s">
        <v>421</v>
      </c>
      <c r="I82" s="41" t="s">
        <v>422</v>
      </c>
      <c r="J82" s="41" t="s">
        <v>27</v>
      </c>
      <c r="K82" s="41" t="s">
        <v>28</v>
      </c>
      <c r="L82" s="41"/>
      <c r="M82" s="41"/>
      <c r="N82" s="42" t="s">
        <v>423</v>
      </c>
      <c r="O82" s="41" t="s">
        <v>21</v>
      </c>
      <c r="P82" s="41" t="s">
        <v>21</v>
      </c>
      <c r="Q82" s="41" t="s">
        <v>21</v>
      </c>
      <c r="R82" s="41"/>
      <c r="S82" s="41"/>
      <c r="T82" s="41"/>
    </row>
    <row r="83" outlineLevel="2" hidden="0">
      <c r="A83" s="46" t="s">
        <v>424</v>
      </c>
      <c r="B83" s="44" t="s">
        <v>21</v>
      </c>
      <c r="C83" s="44" t="s">
        <v>376</v>
      </c>
      <c r="D83" s="44" t="s">
        <v>31</v>
      </c>
      <c r="E83" s="44" t="s">
        <v>24</v>
      </c>
      <c r="F83" s="44" t="s">
        <v>425</v>
      </c>
      <c r="G83" s="44" t="s">
        <v>390</v>
      </c>
      <c r="H83" s="44" t="s">
        <v>391</v>
      </c>
      <c r="I83" s="44" t="s">
        <v>392</v>
      </c>
      <c r="J83" s="44" t="s">
        <v>27</v>
      </c>
      <c r="K83" s="44" t="s">
        <v>28</v>
      </c>
      <c r="L83" s="44"/>
      <c r="M83" s="44"/>
      <c r="N83" s="45" t="s">
        <v>426</v>
      </c>
      <c r="O83" s="44" t="s">
        <v>21</v>
      </c>
      <c r="P83" s="44" t="s">
        <v>21</v>
      </c>
      <c r="Q83" s="44" t="s">
        <v>21</v>
      </c>
      <c r="R83" s="44"/>
      <c r="S83" s="44"/>
      <c r="T83" s="44"/>
    </row>
    <row r="84" outlineLevel="2" hidden="0">
      <c r="A84" s="46" t="s">
        <v>427</v>
      </c>
      <c r="B84" s="44" t="s">
        <v>21</v>
      </c>
      <c r="C84" s="44" t="s">
        <v>376</v>
      </c>
      <c r="D84" s="44" t="s">
        <v>31</v>
      </c>
      <c r="E84" s="44" t="s">
        <v>24</v>
      </c>
      <c r="F84" s="44" t="s">
        <v>428</v>
      </c>
      <c r="G84" s="44" t="s">
        <v>429</v>
      </c>
      <c r="H84" s="44" t="s">
        <v>391</v>
      </c>
      <c r="I84" s="44" t="s">
        <v>392</v>
      </c>
      <c r="J84" s="44" t="s">
        <v>27</v>
      </c>
      <c r="K84" s="44" t="s">
        <v>28</v>
      </c>
      <c r="L84" s="44"/>
      <c r="M84" s="44"/>
      <c r="N84" s="45" t="s">
        <v>430</v>
      </c>
      <c r="O84" s="44" t="s">
        <v>21</v>
      </c>
      <c r="P84" s="44" t="s">
        <v>21</v>
      </c>
      <c r="Q84" s="44" t="s">
        <v>21</v>
      </c>
      <c r="R84" s="44"/>
      <c r="S84" s="44"/>
      <c r="T84" s="44"/>
    </row>
    <row r="85" outlineLevel="2" hidden="0">
      <c r="A85" s="46" t="s">
        <v>431</v>
      </c>
      <c r="B85" s="44" t="s">
        <v>21</v>
      </c>
      <c r="C85" s="44" t="s">
        <v>376</v>
      </c>
      <c r="D85" s="44" t="s">
        <v>31</v>
      </c>
      <c r="E85" s="44" t="s">
        <v>119</v>
      </c>
      <c r="F85" s="44" t="s">
        <v>432</v>
      </c>
      <c r="G85" s="44" t="s">
        <v>433</v>
      </c>
      <c r="H85" s="44" t="s">
        <v>379</v>
      </c>
      <c r="I85" s="44" t="s">
        <v>380</v>
      </c>
      <c r="J85" s="44" t="s">
        <v>27</v>
      </c>
      <c r="K85" s="44" t="s">
        <v>28</v>
      </c>
      <c r="L85" s="44"/>
      <c r="M85" s="44"/>
      <c r="N85" s="45" t="s">
        <v>434</v>
      </c>
      <c r="O85" s="44" t="s">
        <v>21</v>
      </c>
      <c r="P85" s="44" t="s">
        <v>21</v>
      </c>
      <c r="Q85" s="44" t="s">
        <v>21</v>
      </c>
      <c r="R85" s="44"/>
      <c r="S85" s="44"/>
      <c r="T85" s="44"/>
    </row>
    <row r="86" outlineLevel="2" hidden="0">
      <c r="A86" s="46" t="s">
        <v>435</v>
      </c>
      <c r="B86" s="44" t="s">
        <v>21</v>
      </c>
      <c r="C86" s="44" t="s">
        <v>376</v>
      </c>
      <c r="D86" s="44" t="s">
        <v>31</v>
      </c>
      <c r="E86" s="44" t="s">
        <v>119</v>
      </c>
      <c r="F86" s="44" t="s">
        <v>436</v>
      </c>
      <c r="G86" s="44" t="s">
        <v>437</v>
      </c>
      <c r="H86" s="44" t="s">
        <v>379</v>
      </c>
      <c r="I86" s="44" t="s">
        <v>380</v>
      </c>
      <c r="J86" s="44" t="s">
        <v>27</v>
      </c>
      <c r="K86" s="44" t="s">
        <v>28</v>
      </c>
      <c r="L86" s="44"/>
      <c r="M86" s="44"/>
      <c r="N86" s="45" t="s">
        <v>438</v>
      </c>
      <c r="O86" s="44" t="s">
        <v>21</v>
      </c>
      <c r="P86" s="44" t="s">
        <v>21</v>
      </c>
      <c r="Q86" s="44" t="s">
        <v>21</v>
      </c>
      <c r="R86" s="44"/>
      <c r="S86" s="44"/>
      <c r="T86" s="44"/>
    </row>
    <row r="87" outlineLevel="2" hidden="0">
      <c r="A87" s="46" t="s">
        <v>439</v>
      </c>
      <c r="B87" s="44" t="s">
        <v>21</v>
      </c>
      <c r="C87" s="44" t="s">
        <v>376</v>
      </c>
      <c r="D87" s="44" t="s">
        <v>31</v>
      </c>
      <c r="E87" s="44" t="s">
        <v>24</v>
      </c>
      <c r="F87" s="44" t="s">
        <v>440</v>
      </c>
      <c r="G87" s="44" t="s">
        <v>396</v>
      </c>
      <c r="H87" s="44" t="s">
        <v>397</v>
      </c>
      <c r="I87" s="44" t="s">
        <v>398</v>
      </c>
      <c r="J87" s="44" t="s">
        <v>27</v>
      </c>
      <c r="K87" s="44" t="s">
        <v>28</v>
      </c>
      <c r="L87" s="44"/>
      <c r="M87" s="44"/>
      <c r="N87" s="45" t="s">
        <v>441</v>
      </c>
      <c r="O87" s="44" t="s">
        <v>21</v>
      </c>
      <c r="P87" s="44" t="s">
        <v>21</v>
      </c>
      <c r="Q87" s="44" t="s">
        <v>21</v>
      </c>
      <c r="R87" s="44"/>
      <c r="S87" s="44"/>
      <c r="T87" s="44"/>
    </row>
    <row r="88" outlineLevel="2" hidden="0">
      <c r="A88" s="46" t="s">
        <v>442</v>
      </c>
      <c r="B88" s="44" t="s">
        <v>21</v>
      </c>
      <c r="C88" s="44" t="s">
        <v>376</v>
      </c>
      <c r="D88" s="44" t="s">
        <v>31</v>
      </c>
      <c r="E88" s="44" t="s">
        <v>24</v>
      </c>
      <c r="F88" s="44" t="s">
        <v>443</v>
      </c>
      <c r="G88" s="44" t="s">
        <v>444</v>
      </c>
      <c r="H88" s="44" t="s">
        <v>397</v>
      </c>
      <c r="I88" s="44" t="s">
        <v>398</v>
      </c>
      <c r="J88" s="44" t="s">
        <v>27</v>
      </c>
      <c r="K88" s="44" t="s">
        <v>28</v>
      </c>
      <c r="L88" s="44"/>
      <c r="M88" s="44"/>
      <c r="N88" s="45" t="s">
        <v>445</v>
      </c>
      <c r="O88" s="44" t="s">
        <v>21</v>
      </c>
      <c r="P88" s="44" t="s">
        <v>21</v>
      </c>
      <c r="Q88" s="44" t="s">
        <v>21</v>
      </c>
      <c r="R88" s="44"/>
      <c r="S88" s="44"/>
      <c r="T88" s="44"/>
    </row>
    <row r="89" outlineLevel="2" hidden="0">
      <c r="A89" s="46" t="s">
        <v>446</v>
      </c>
      <c r="B89" s="44" t="s">
        <v>21</v>
      </c>
      <c r="C89" s="44" t="s">
        <v>376</v>
      </c>
      <c r="D89" s="44" t="s">
        <v>31</v>
      </c>
      <c r="E89" s="44" t="s">
        <v>24</v>
      </c>
      <c r="F89" s="44" t="s">
        <v>447</v>
      </c>
      <c r="G89" s="44" t="s">
        <v>402</v>
      </c>
      <c r="H89" s="44" t="s">
        <v>403</v>
      </c>
      <c r="I89" s="44" t="s">
        <v>404</v>
      </c>
      <c r="J89" s="44" t="s">
        <v>27</v>
      </c>
      <c r="K89" s="44" t="s">
        <v>28</v>
      </c>
      <c r="L89" s="44"/>
      <c r="M89" s="44"/>
      <c r="N89" s="45" t="s">
        <v>448</v>
      </c>
      <c r="O89" s="44" t="s">
        <v>21</v>
      </c>
      <c r="P89" s="44" t="s">
        <v>21</v>
      </c>
      <c r="Q89" s="44" t="s">
        <v>21</v>
      </c>
      <c r="R89" s="44"/>
      <c r="S89" s="44"/>
      <c r="T89" s="44"/>
    </row>
    <row r="90" outlineLevel="2" hidden="0">
      <c r="A90" s="46" t="s">
        <v>449</v>
      </c>
      <c r="B90" s="44" t="s">
        <v>21</v>
      </c>
      <c r="C90" s="44" t="s">
        <v>376</v>
      </c>
      <c r="D90" s="44" t="s">
        <v>31</v>
      </c>
      <c r="E90" s="44" t="s">
        <v>24</v>
      </c>
      <c r="F90" s="44" t="s">
        <v>450</v>
      </c>
      <c r="G90" s="44" t="s">
        <v>451</v>
      </c>
      <c r="H90" s="44" t="s">
        <v>403</v>
      </c>
      <c r="I90" s="44" t="s">
        <v>404</v>
      </c>
      <c r="J90" s="44" t="s">
        <v>27</v>
      </c>
      <c r="K90" s="44" t="s">
        <v>28</v>
      </c>
      <c r="L90" s="44"/>
      <c r="M90" s="44"/>
      <c r="N90" s="45" t="s">
        <v>452</v>
      </c>
      <c r="O90" s="44" t="s">
        <v>21</v>
      </c>
      <c r="P90" s="44" t="s">
        <v>21</v>
      </c>
      <c r="Q90" s="44" t="s">
        <v>21</v>
      </c>
      <c r="R90" s="44"/>
      <c r="S90" s="44"/>
      <c r="T90" s="44"/>
    </row>
    <row r="91" outlineLevel="2" hidden="0">
      <c r="A91" s="46" t="s">
        <v>453</v>
      </c>
      <c r="B91" s="44" t="s">
        <v>21</v>
      </c>
      <c r="C91" s="44" t="s">
        <v>376</v>
      </c>
      <c r="D91" s="44" t="s">
        <v>31</v>
      </c>
      <c r="E91" s="44" t="s">
        <v>24</v>
      </c>
      <c r="F91" s="44" t="s">
        <v>454</v>
      </c>
      <c r="G91" s="44" t="s">
        <v>455</v>
      </c>
      <c r="H91" s="44" t="s">
        <v>456</v>
      </c>
      <c r="I91" s="44" t="s">
        <v>457</v>
      </c>
      <c r="J91" s="44" t="s">
        <v>415</v>
      </c>
      <c r="K91" s="44" t="s">
        <v>416</v>
      </c>
      <c r="L91" s="44"/>
      <c r="M91" s="44"/>
      <c r="N91" s="45" t="s">
        <v>458</v>
      </c>
      <c r="O91" s="44" t="s">
        <v>21</v>
      </c>
      <c r="P91" s="44" t="s">
        <v>21</v>
      </c>
      <c r="Q91" s="44" t="s">
        <v>21</v>
      </c>
      <c r="R91" s="44"/>
      <c r="S91" s="44"/>
      <c r="T91" s="44"/>
    </row>
    <row r="92" outlineLevel="2" hidden="0">
      <c r="A92" s="46" t="s">
        <v>459</v>
      </c>
      <c r="B92" s="44" t="s">
        <v>21</v>
      </c>
      <c r="C92" s="44" t="s">
        <v>376</v>
      </c>
      <c r="D92" s="44" t="s">
        <v>31</v>
      </c>
      <c r="E92" s="44" t="s">
        <v>24</v>
      </c>
      <c r="F92" s="44" t="s">
        <v>460</v>
      </c>
      <c r="G92" s="44" t="s">
        <v>461</v>
      </c>
      <c r="H92" s="44" t="s">
        <v>456</v>
      </c>
      <c r="I92" s="44" t="s">
        <v>457</v>
      </c>
      <c r="J92" s="44" t="s">
        <v>415</v>
      </c>
      <c r="K92" s="44" t="s">
        <v>416</v>
      </c>
      <c r="L92" s="44"/>
      <c r="M92" s="44"/>
      <c r="N92" s="45" t="s">
        <v>462</v>
      </c>
      <c r="O92" s="44" t="s">
        <v>21</v>
      </c>
      <c r="P92" s="44" t="s">
        <v>21</v>
      </c>
      <c r="Q92" s="44" t="s">
        <v>21</v>
      </c>
      <c r="R92" s="44"/>
      <c r="S92" s="44"/>
      <c r="T92" s="44"/>
    </row>
    <row r="93" outlineLevel="2" hidden="0">
      <c r="A93" s="46" t="s">
        <v>463</v>
      </c>
      <c r="B93" s="44" t="s">
        <v>21</v>
      </c>
      <c r="C93" s="44" t="s">
        <v>376</v>
      </c>
      <c r="D93" s="44" t="s">
        <v>31</v>
      </c>
      <c r="E93" s="44" t="s">
        <v>53</v>
      </c>
      <c r="F93" s="44" t="s">
        <v>464</v>
      </c>
      <c r="G93" s="44" t="s">
        <v>465</v>
      </c>
      <c r="H93" s="44" t="s">
        <v>466</v>
      </c>
      <c r="I93" s="44" t="s">
        <v>467</v>
      </c>
      <c r="J93" s="44" t="s">
        <v>456</v>
      </c>
      <c r="K93" s="44" t="s">
        <v>457</v>
      </c>
      <c r="L93" s="44"/>
      <c r="M93" s="44"/>
      <c r="N93" s="45" t="s">
        <v>468</v>
      </c>
      <c r="O93" s="44" t="s">
        <v>21</v>
      </c>
      <c r="P93" s="44" t="s">
        <v>21</v>
      </c>
      <c r="Q93" s="44" t="s">
        <v>21</v>
      </c>
      <c r="R93" s="44"/>
      <c r="S93" s="44"/>
      <c r="T93" s="44"/>
    </row>
    <row r="94" outlineLevel="2" hidden="0">
      <c r="A94" s="46" t="s">
        <v>469</v>
      </c>
      <c r="B94" s="44" t="s">
        <v>21</v>
      </c>
      <c r="C94" s="44" t="s">
        <v>376</v>
      </c>
      <c r="D94" s="44" t="s">
        <v>31</v>
      </c>
      <c r="E94" s="44" t="s">
        <v>53</v>
      </c>
      <c r="F94" s="44" t="s">
        <v>470</v>
      </c>
      <c r="G94" s="44" t="s">
        <v>471</v>
      </c>
      <c r="H94" s="44" t="s">
        <v>466</v>
      </c>
      <c r="I94" s="44" t="s">
        <v>467</v>
      </c>
      <c r="J94" s="44" t="s">
        <v>456</v>
      </c>
      <c r="K94" s="44" t="s">
        <v>457</v>
      </c>
      <c r="L94" s="44"/>
      <c r="M94" s="44"/>
      <c r="N94" s="45" t="s">
        <v>472</v>
      </c>
      <c r="O94" s="44" t="s">
        <v>21</v>
      </c>
      <c r="P94" s="44" t="s">
        <v>21</v>
      </c>
      <c r="Q94" s="44" t="s">
        <v>21</v>
      </c>
      <c r="R94" s="44"/>
      <c r="S94" s="44"/>
      <c r="T94" s="44"/>
    </row>
    <row r="95" outlineLevel="2" hidden="0">
      <c r="A95" s="46" t="s">
        <v>473</v>
      </c>
      <c r="B95" s="44" t="s">
        <v>21</v>
      </c>
      <c r="C95" s="44" t="s">
        <v>376</v>
      </c>
      <c r="D95" s="44" t="s">
        <v>31</v>
      </c>
      <c r="E95" s="44" t="s">
        <v>119</v>
      </c>
      <c r="F95" s="44" t="s">
        <v>474</v>
      </c>
      <c r="G95" s="44" t="s">
        <v>475</v>
      </c>
      <c r="H95" s="44" t="s">
        <v>385</v>
      </c>
      <c r="I95" s="44" t="s">
        <v>386</v>
      </c>
      <c r="J95" s="44" t="s">
        <v>27</v>
      </c>
      <c r="K95" s="44" t="s">
        <v>28</v>
      </c>
      <c r="L95" s="44"/>
      <c r="M95" s="44"/>
      <c r="N95" s="45" t="s">
        <v>476</v>
      </c>
      <c r="O95" s="44" t="s">
        <v>21</v>
      </c>
      <c r="P95" s="44" t="s">
        <v>21</v>
      </c>
      <c r="Q95" s="44" t="s">
        <v>21</v>
      </c>
      <c r="R95" s="44"/>
      <c r="S95" s="44"/>
      <c r="T95" s="44"/>
    </row>
    <row r="96" outlineLevel="2" hidden="0">
      <c r="A96" s="46" t="s">
        <v>477</v>
      </c>
      <c r="B96" s="44" t="s">
        <v>21</v>
      </c>
      <c r="C96" s="44" t="s">
        <v>376</v>
      </c>
      <c r="D96" s="44" t="s">
        <v>31</v>
      </c>
      <c r="E96" s="44" t="s">
        <v>119</v>
      </c>
      <c r="F96" s="44" t="s">
        <v>478</v>
      </c>
      <c r="G96" s="44" t="s">
        <v>479</v>
      </c>
      <c r="H96" s="44" t="s">
        <v>385</v>
      </c>
      <c r="I96" s="44" t="s">
        <v>386</v>
      </c>
      <c r="J96" s="44" t="s">
        <v>27</v>
      </c>
      <c r="K96" s="44" t="s">
        <v>28</v>
      </c>
      <c r="L96" s="44"/>
      <c r="M96" s="44"/>
      <c r="N96" s="45" t="s">
        <v>480</v>
      </c>
      <c r="O96" s="44" t="s">
        <v>21</v>
      </c>
      <c r="P96" s="44" t="s">
        <v>21</v>
      </c>
      <c r="Q96" s="44" t="s">
        <v>21</v>
      </c>
      <c r="R96" s="44"/>
      <c r="S96" s="44"/>
      <c r="T96" s="44"/>
    </row>
    <row r="97" outlineLevel="2" hidden="0">
      <c r="A97" s="46" t="s">
        <v>481</v>
      </c>
      <c r="B97" s="44" t="s">
        <v>21</v>
      </c>
      <c r="C97" s="44" t="s">
        <v>376</v>
      </c>
      <c r="D97" s="44" t="s">
        <v>31</v>
      </c>
      <c r="E97" s="44" t="s">
        <v>24</v>
      </c>
      <c r="F97" s="44" t="s">
        <v>482</v>
      </c>
      <c r="G97" s="44" t="s">
        <v>483</v>
      </c>
      <c r="H97" s="44" t="s">
        <v>484</v>
      </c>
      <c r="I97" s="44" t="s">
        <v>485</v>
      </c>
      <c r="J97" s="44" t="s">
        <v>27</v>
      </c>
      <c r="K97" s="44" t="s">
        <v>28</v>
      </c>
      <c r="L97" s="44"/>
      <c r="M97" s="44"/>
      <c r="N97" s="45" t="s">
        <v>486</v>
      </c>
      <c r="O97" s="44" t="s">
        <v>21</v>
      </c>
      <c r="P97" s="44" t="s">
        <v>21</v>
      </c>
      <c r="Q97" s="44" t="s">
        <v>21</v>
      </c>
      <c r="R97" s="44"/>
      <c r="S97" s="44"/>
      <c r="T97" s="44"/>
    </row>
    <row r="98" outlineLevel="2" hidden="0">
      <c r="A98" s="46" t="s">
        <v>487</v>
      </c>
      <c r="B98" s="44" t="s">
        <v>21</v>
      </c>
      <c r="C98" s="44" t="s">
        <v>376</v>
      </c>
      <c r="D98" s="44" t="s">
        <v>31</v>
      </c>
      <c r="E98" s="44" t="s">
        <v>24</v>
      </c>
      <c r="F98" s="44" t="s">
        <v>488</v>
      </c>
      <c r="G98" s="44" t="s">
        <v>489</v>
      </c>
      <c r="H98" s="44" t="s">
        <v>484</v>
      </c>
      <c r="I98" s="44" t="s">
        <v>485</v>
      </c>
      <c r="J98" s="44" t="s">
        <v>27</v>
      </c>
      <c r="K98" s="44" t="s">
        <v>28</v>
      </c>
      <c r="L98" s="44"/>
      <c r="M98" s="44"/>
      <c r="N98" s="45" t="s">
        <v>490</v>
      </c>
      <c r="O98" s="44" t="s">
        <v>21</v>
      </c>
      <c r="P98" s="44" t="s">
        <v>21</v>
      </c>
      <c r="Q98" s="44" t="s">
        <v>21</v>
      </c>
      <c r="R98" s="44"/>
      <c r="S98" s="44"/>
      <c r="T98" s="44"/>
    </row>
    <row r="99" outlineLevel="2" hidden="0">
      <c r="A99" s="46" t="s">
        <v>491</v>
      </c>
      <c r="B99" s="44" t="s">
        <v>21</v>
      </c>
      <c r="C99" s="44" t="s">
        <v>376</v>
      </c>
      <c r="D99" s="44" t="s">
        <v>31</v>
      </c>
      <c r="E99" s="44" t="s">
        <v>24</v>
      </c>
      <c r="F99" s="44" t="s">
        <v>492</v>
      </c>
      <c r="G99" s="44" t="s">
        <v>408</v>
      </c>
      <c r="H99" s="44" t="s">
        <v>409</v>
      </c>
      <c r="I99" s="44" t="s">
        <v>410</v>
      </c>
      <c r="J99" s="44" t="s">
        <v>27</v>
      </c>
      <c r="K99" s="44" t="s">
        <v>28</v>
      </c>
      <c r="L99" s="44"/>
      <c r="M99" s="44"/>
      <c r="N99" s="45" t="s">
        <v>493</v>
      </c>
      <c r="O99" s="44" t="s">
        <v>21</v>
      </c>
      <c r="P99" s="44" t="s">
        <v>21</v>
      </c>
      <c r="Q99" s="44" t="s">
        <v>21</v>
      </c>
      <c r="R99" s="44"/>
      <c r="S99" s="44"/>
      <c r="T99" s="44"/>
    </row>
    <row r="100" outlineLevel="2" hidden="0">
      <c r="A100" s="46" t="s">
        <v>494</v>
      </c>
      <c r="B100" s="44" t="s">
        <v>21</v>
      </c>
      <c r="C100" s="44" t="s">
        <v>376</v>
      </c>
      <c r="D100" s="44" t="s">
        <v>31</v>
      </c>
      <c r="E100" s="44" t="s">
        <v>24</v>
      </c>
      <c r="F100" s="44" t="s">
        <v>495</v>
      </c>
      <c r="G100" s="44" t="s">
        <v>496</v>
      </c>
      <c r="H100" s="44" t="s">
        <v>409</v>
      </c>
      <c r="I100" s="44" t="s">
        <v>410</v>
      </c>
      <c r="J100" s="44" t="s">
        <v>27</v>
      </c>
      <c r="K100" s="44" t="s">
        <v>28</v>
      </c>
      <c r="L100" s="44"/>
      <c r="M100" s="44"/>
      <c r="N100" s="45" t="s">
        <v>497</v>
      </c>
      <c r="O100" s="44" t="s">
        <v>21</v>
      </c>
      <c r="P100" s="44" t="s">
        <v>21</v>
      </c>
      <c r="Q100" s="44" t="s">
        <v>21</v>
      </c>
      <c r="R100" s="44"/>
      <c r="S100" s="44"/>
      <c r="T100" s="44"/>
    </row>
    <row r="101" outlineLevel="2" hidden="0">
      <c r="A101" s="46" t="s">
        <v>498</v>
      </c>
      <c r="B101" s="44" t="s">
        <v>21</v>
      </c>
      <c r="C101" s="44" t="s">
        <v>376</v>
      </c>
      <c r="D101" s="44" t="s">
        <v>31</v>
      </c>
      <c r="E101" s="44" t="s">
        <v>24</v>
      </c>
      <c r="F101" s="44" t="s">
        <v>499</v>
      </c>
      <c r="G101" s="44" t="s">
        <v>414</v>
      </c>
      <c r="H101" s="44" t="s">
        <v>415</v>
      </c>
      <c r="I101" s="44" t="s">
        <v>416</v>
      </c>
      <c r="J101" s="44" t="s">
        <v>27</v>
      </c>
      <c r="K101" s="44" t="s">
        <v>28</v>
      </c>
      <c r="L101" s="44"/>
      <c r="M101" s="44"/>
      <c r="N101" s="45" t="s">
        <v>500</v>
      </c>
      <c r="O101" s="44" t="s">
        <v>21</v>
      </c>
      <c r="P101" s="44" t="s">
        <v>21</v>
      </c>
      <c r="Q101" s="44" t="s">
        <v>21</v>
      </c>
      <c r="R101" s="44"/>
      <c r="S101" s="44"/>
      <c r="T101" s="44"/>
    </row>
    <row r="102" outlineLevel="2" hidden="0">
      <c r="A102" s="46" t="s">
        <v>501</v>
      </c>
      <c r="B102" s="44" t="s">
        <v>21</v>
      </c>
      <c r="C102" s="44" t="s">
        <v>376</v>
      </c>
      <c r="D102" s="44" t="s">
        <v>31</v>
      </c>
      <c r="E102" s="44" t="s">
        <v>24</v>
      </c>
      <c r="F102" s="44" t="s">
        <v>502</v>
      </c>
      <c r="G102" s="44" t="s">
        <v>503</v>
      </c>
      <c r="H102" s="44" t="s">
        <v>415</v>
      </c>
      <c r="I102" s="44" t="s">
        <v>416</v>
      </c>
      <c r="J102" s="44" t="s">
        <v>27</v>
      </c>
      <c r="K102" s="44" t="s">
        <v>28</v>
      </c>
      <c r="L102" s="44"/>
      <c r="M102" s="44"/>
      <c r="N102" s="45" t="s">
        <v>504</v>
      </c>
      <c r="O102" s="44" t="s">
        <v>21</v>
      </c>
      <c r="P102" s="44" t="s">
        <v>21</v>
      </c>
      <c r="Q102" s="44" t="s">
        <v>21</v>
      </c>
      <c r="R102" s="44"/>
      <c r="S102" s="44"/>
      <c r="T102" s="44"/>
    </row>
    <row r="103" outlineLevel="2" hidden="0">
      <c r="A103" s="46" t="s">
        <v>505</v>
      </c>
      <c r="B103" s="44" t="s">
        <v>21</v>
      </c>
      <c r="C103" s="44" t="s">
        <v>376</v>
      </c>
      <c r="D103" s="44" t="s">
        <v>31</v>
      </c>
      <c r="E103" s="44" t="s">
        <v>24</v>
      </c>
      <c r="F103" s="44" t="s">
        <v>506</v>
      </c>
      <c r="G103" s="44" t="s">
        <v>420</v>
      </c>
      <c r="H103" s="44" t="s">
        <v>421</v>
      </c>
      <c r="I103" s="44" t="s">
        <v>422</v>
      </c>
      <c r="J103" s="44" t="s">
        <v>27</v>
      </c>
      <c r="K103" s="44" t="s">
        <v>28</v>
      </c>
      <c r="L103" s="44"/>
      <c r="M103" s="44"/>
      <c r="N103" s="45" t="s">
        <v>507</v>
      </c>
      <c r="O103" s="44" t="s">
        <v>21</v>
      </c>
      <c r="P103" s="44" t="s">
        <v>21</v>
      </c>
      <c r="Q103" s="44" t="s">
        <v>21</v>
      </c>
      <c r="R103" s="44"/>
      <c r="S103" s="44"/>
      <c r="T103" s="44"/>
    </row>
    <row r="104" outlineLevel="2" hidden="0">
      <c r="A104" s="46" t="s">
        <v>508</v>
      </c>
      <c r="B104" s="44" t="s">
        <v>21</v>
      </c>
      <c r="C104" s="44" t="s">
        <v>376</v>
      </c>
      <c r="D104" s="44" t="s">
        <v>31</v>
      </c>
      <c r="E104" s="44" t="s">
        <v>24</v>
      </c>
      <c r="F104" s="44" t="s">
        <v>509</v>
      </c>
      <c r="G104" s="44" t="s">
        <v>510</v>
      </c>
      <c r="H104" s="44" t="s">
        <v>421</v>
      </c>
      <c r="I104" s="44" t="s">
        <v>422</v>
      </c>
      <c r="J104" s="44" t="s">
        <v>27</v>
      </c>
      <c r="K104" s="44" t="s">
        <v>28</v>
      </c>
      <c r="L104" s="44"/>
      <c r="M104" s="44"/>
      <c r="N104" s="45" t="s">
        <v>511</v>
      </c>
      <c r="O104" s="44" t="s">
        <v>21</v>
      </c>
      <c r="P104" s="44" t="s">
        <v>21</v>
      </c>
      <c r="Q104" s="44" t="s">
        <v>21</v>
      </c>
      <c r="R104" s="44"/>
      <c r="S104" s="44"/>
      <c r="T104" s="44"/>
    </row>
    <row r="105" outlineLevel="2" hidden="0">
      <c r="A105" s="49" t="s">
        <v>512</v>
      </c>
      <c r="B105" s="47" t="s">
        <v>21</v>
      </c>
      <c r="C105" s="47" t="s">
        <v>513</v>
      </c>
      <c r="D105" s="47" t="s">
        <v>31</v>
      </c>
      <c r="E105" s="47" t="s">
        <v>24</v>
      </c>
      <c r="F105" s="47" t="s">
        <v>514</v>
      </c>
      <c r="G105" s="47" t="s">
        <v>515</v>
      </c>
      <c r="H105" s="47" t="s">
        <v>516</v>
      </c>
      <c r="I105" s="47" t="s">
        <v>517</v>
      </c>
      <c r="J105" s="47" t="s">
        <v>27</v>
      </c>
      <c r="K105" s="47" t="s">
        <v>28</v>
      </c>
      <c r="L105" s="47"/>
      <c r="M105" s="47"/>
      <c r="N105" s="48" t="s">
        <v>518</v>
      </c>
      <c r="O105" s="47" t="s">
        <v>21</v>
      </c>
      <c r="P105" s="47" t="s">
        <v>21</v>
      </c>
      <c r="Q105" s="47" t="s">
        <v>21</v>
      </c>
      <c r="R105" s="47"/>
      <c r="S105" s="47"/>
      <c r="T105" s="47"/>
    </row>
    <row r="106" outlineLevel="2" hidden="0">
      <c r="A106" s="49" t="s">
        <v>519</v>
      </c>
      <c r="B106" s="47" t="s">
        <v>21</v>
      </c>
      <c r="C106" s="47" t="s">
        <v>513</v>
      </c>
      <c r="D106" s="47" t="s">
        <v>31</v>
      </c>
      <c r="E106" s="47" t="s">
        <v>24</v>
      </c>
      <c r="F106" s="47" t="s">
        <v>520</v>
      </c>
      <c r="G106" s="47" t="s">
        <v>521</v>
      </c>
      <c r="H106" s="47" t="s">
        <v>516</v>
      </c>
      <c r="I106" s="47" t="s">
        <v>517</v>
      </c>
      <c r="J106" s="47" t="s">
        <v>27</v>
      </c>
      <c r="K106" s="47" t="s">
        <v>28</v>
      </c>
      <c r="L106" s="47"/>
      <c r="M106" s="47"/>
      <c r="N106" s="48" t="s">
        <v>522</v>
      </c>
      <c r="O106" s="47" t="s">
        <v>21</v>
      </c>
      <c r="P106" s="47" t="s">
        <v>21</v>
      </c>
      <c r="Q106" s="47" t="s">
        <v>21</v>
      </c>
      <c r="R106" s="47"/>
      <c r="S106" s="47"/>
      <c r="T106" s="47"/>
    </row>
    <row r="107" outlineLevel="2" hidden="0">
      <c r="A107" s="49" t="s">
        <v>523</v>
      </c>
      <c r="B107" s="47" t="s">
        <v>21</v>
      </c>
      <c r="C107" s="47" t="s">
        <v>513</v>
      </c>
      <c r="D107" s="47" t="s">
        <v>31</v>
      </c>
      <c r="E107" s="47" t="s">
        <v>24</v>
      </c>
      <c r="F107" s="47" t="s">
        <v>524</v>
      </c>
      <c r="G107" s="47" t="s">
        <v>525</v>
      </c>
      <c r="H107" s="47" t="s">
        <v>526</v>
      </c>
      <c r="I107" s="47" t="s">
        <v>527</v>
      </c>
      <c r="J107" s="47" t="s">
        <v>185</v>
      </c>
      <c r="K107" s="47" t="s">
        <v>186</v>
      </c>
      <c r="L107" s="47"/>
      <c r="M107" s="47"/>
      <c r="N107" s="48" t="s">
        <v>528</v>
      </c>
      <c r="O107" s="47" t="s">
        <v>21</v>
      </c>
      <c r="P107" s="47" t="s">
        <v>21</v>
      </c>
      <c r="Q107" s="47" t="s">
        <v>21</v>
      </c>
      <c r="R107" s="47"/>
      <c r="S107" s="47"/>
      <c r="T107" s="47"/>
    </row>
    <row r="108" outlineLevel="2" hidden="0">
      <c r="A108" s="49" t="s">
        <v>529</v>
      </c>
      <c r="B108" s="47" t="s">
        <v>21</v>
      </c>
      <c r="C108" s="47" t="s">
        <v>513</v>
      </c>
      <c r="D108" s="47" t="s">
        <v>31</v>
      </c>
      <c r="E108" s="47" t="s">
        <v>24</v>
      </c>
      <c r="F108" s="47" t="s">
        <v>530</v>
      </c>
      <c r="G108" s="47" t="s">
        <v>531</v>
      </c>
      <c r="H108" s="47" t="s">
        <v>526</v>
      </c>
      <c r="I108" s="47" t="s">
        <v>527</v>
      </c>
      <c r="J108" s="47" t="s">
        <v>185</v>
      </c>
      <c r="K108" s="47" t="s">
        <v>186</v>
      </c>
      <c r="L108" s="47"/>
      <c r="M108" s="47"/>
      <c r="N108" s="48" t="s">
        <v>532</v>
      </c>
      <c r="O108" s="47" t="s">
        <v>21</v>
      </c>
      <c r="P108" s="47" t="s">
        <v>21</v>
      </c>
      <c r="Q108" s="47" t="s">
        <v>21</v>
      </c>
      <c r="R108" s="47"/>
      <c r="S108" s="47"/>
      <c r="T108" s="47"/>
    </row>
    <row r="109" outlineLevel="2" hidden="0">
      <c r="A109" s="49" t="s">
        <v>533</v>
      </c>
      <c r="B109" s="47" t="s">
        <v>21</v>
      </c>
      <c r="C109" s="47" t="s">
        <v>513</v>
      </c>
      <c r="D109" s="47" t="s">
        <v>31</v>
      </c>
      <c r="E109" s="47" t="s">
        <v>182</v>
      </c>
      <c r="F109" s="47" t="s">
        <v>534</v>
      </c>
      <c r="G109" s="47" t="s">
        <v>535</v>
      </c>
      <c r="H109" s="47" t="s">
        <v>536</v>
      </c>
      <c r="I109" s="47" t="s">
        <v>537</v>
      </c>
      <c r="J109" s="47" t="s">
        <v>27</v>
      </c>
      <c r="K109" s="47" t="s">
        <v>28</v>
      </c>
      <c r="L109" s="47"/>
      <c r="M109" s="47"/>
      <c r="N109" s="48" t="s">
        <v>538</v>
      </c>
      <c r="O109" s="47" t="s">
        <v>21</v>
      </c>
      <c r="P109" s="47" t="s">
        <v>21</v>
      </c>
      <c r="Q109" s="47" t="s">
        <v>21</v>
      </c>
      <c r="R109" s="47"/>
      <c r="S109" s="47"/>
      <c r="T109" s="47"/>
    </row>
    <row r="110" outlineLevel="2" hidden="0">
      <c r="A110" s="49" t="s">
        <v>539</v>
      </c>
      <c r="B110" s="47" t="s">
        <v>21</v>
      </c>
      <c r="C110" s="47" t="s">
        <v>513</v>
      </c>
      <c r="D110" s="47" t="s">
        <v>31</v>
      </c>
      <c r="E110" s="47" t="s">
        <v>182</v>
      </c>
      <c r="F110" s="47" t="s">
        <v>540</v>
      </c>
      <c r="G110" s="47" t="s">
        <v>541</v>
      </c>
      <c r="H110" s="47" t="s">
        <v>536</v>
      </c>
      <c r="I110" s="47" t="s">
        <v>537</v>
      </c>
      <c r="J110" s="47" t="s">
        <v>27</v>
      </c>
      <c r="K110" s="47" t="s">
        <v>28</v>
      </c>
      <c r="L110" s="47"/>
      <c r="M110" s="47"/>
      <c r="N110" s="48" t="s">
        <v>542</v>
      </c>
      <c r="O110" s="47" t="s">
        <v>21</v>
      </c>
      <c r="P110" s="47" t="s">
        <v>21</v>
      </c>
      <c r="Q110" s="47" t="s">
        <v>21</v>
      </c>
      <c r="R110" s="47"/>
      <c r="S110" s="47"/>
      <c r="T110" s="47"/>
    </row>
    <row r="111" outlineLevel="1" hidden="0">
      <c r="A111" s="52" t="s">
        <v>543</v>
      </c>
      <c r="B111" s="50" t="s">
        <v>21</v>
      </c>
      <c r="C111" s="50" t="s">
        <v>544</v>
      </c>
      <c r="D111" s="50" t="s">
        <v>118</v>
      </c>
      <c r="E111" s="50" t="s">
        <v>318</v>
      </c>
      <c r="F111" s="50" t="s">
        <v>545</v>
      </c>
      <c r="G111" s="50" t="s">
        <v>546</v>
      </c>
      <c r="H111" s="50" t="s">
        <v>547</v>
      </c>
      <c r="I111" s="50" t="s">
        <v>548</v>
      </c>
      <c r="J111" s="50" t="s">
        <v>547</v>
      </c>
      <c r="K111" s="50" t="s">
        <v>548</v>
      </c>
      <c r="L111" s="50" t="s">
        <v>549</v>
      </c>
      <c r="M111" s="50" t="s">
        <v>550</v>
      </c>
      <c r="N111" s="51" t="s">
        <v>551</v>
      </c>
      <c r="O111" s="50" t="s">
        <v>21</v>
      </c>
      <c r="P111" s="50" t="s">
        <v>21</v>
      </c>
      <c r="Q111" s="50" t="s">
        <v>21</v>
      </c>
      <c r="R111" s="50" t="s">
        <v>21</v>
      </c>
      <c r="S111" s="50"/>
      <c r="T111" s="50"/>
    </row>
    <row r="112" outlineLevel="2" hidden="0">
      <c r="A112" s="7" t="s">
        <v>552</v>
      </c>
      <c r="B112" s="5" t="s">
        <v>21</v>
      </c>
      <c r="C112" s="5" t="s">
        <v>544</v>
      </c>
      <c r="D112" s="5" t="s">
        <v>31</v>
      </c>
      <c r="E112" s="5" t="s">
        <v>318</v>
      </c>
      <c r="F112" s="5" t="s">
        <v>553</v>
      </c>
      <c r="G112" s="5" t="s">
        <v>554</v>
      </c>
      <c r="H112" s="5" t="s">
        <v>547</v>
      </c>
      <c r="I112" s="5" t="s">
        <v>548</v>
      </c>
      <c r="J112" s="5" t="s">
        <v>549</v>
      </c>
      <c r="K112" s="5" t="s">
        <v>550</v>
      </c>
      <c r="L112" s="5"/>
      <c r="M112" s="5"/>
      <c r="N112" s="6" t="s">
        <v>555</v>
      </c>
      <c r="O112" s="5" t="s">
        <v>21</v>
      </c>
      <c r="P112" s="5" t="s">
        <v>21</v>
      </c>
      <c r="Q112" s="5" t="s">
        <v>21</v>
      </c>
      <c r="R112" s="5"/>
      <c r="S112" s="5"/>
      <c r="T112" s="5"/>
    </row>
    <row r="113" outlineLevel="2" hidden="0">
      <c r="A113" s="7" t="s">
        <v>556</v>
      </c>
      <c r="B113" s="5" t="s">
        <v>21</v>
      </c>
      <c r="C113" s="5" t="s">
        <v>544</v>
      </c>
      <c r="D113" s="5" t="s">
        <v>31</v>
      </c>
      <c r="E113" s="5" t="s">
        <v>318</v>
      </c>
      <c r="F113" s="5" t="s">
        <v>557</v>
      </c>
      <c r="G113" s="5" t="s">
        <v>558</v>
      </c>
      <c r="H113" s="5" t="s">
        <v>547</v>
      </c>
      <c r="I113" s="5" t="s">
        <v>548</v>
      </c>
      <c r="J113" s="5" t="s">
        <v>549</v>
      </c>
      <c r="K113" s="5" t="s">
        <v>550</v>
      </c>
      <c r="L113" s="5"/>
      <c r="M113" s="5"/>
      <c r="N113" s="6" t="s">
        <v>559</v>
      </c>
      <c r="O113" s="5" t="s">
        <v>21</v>
      </c>
      <c r="P113" s="5" t="s">
        <v>21</v>
      </c>
      <c r="Q113" s="5" t="s">
        <v>21</v>
      </c>
      <c r="R113" s="5"/>
      <c r="S113" s="5"/>
      <c r="T113" s="5"/>
    </row>
    <row r="114" outlineLevel="2" hidden="0">
      <c r="A114" s="7" t="s">
        <v>560</v>
      </c>
      <c r="B114" s="5" t="s">
        <v>21</v>
      </c>
      <c r="C114" s="5" t="s">
        <v>544</v>
      </c>
      <c r="D114" s="5" t="s">
        <v>31</v>
      </c>
      <c r="E114" s="5" t="s">
        <v>182</v>
      </c>
      <c r="F114" s="5" t="s">
        <v>561</v>
      </c>
      <c r="G114" s="5" t="s">
        <v>562</v>
      </c>
      <c r="H114" s="5" t="s">
        <v>549</v>
      </c>
      <c r="I114" s="5" t="s">
        <v>550</v>
      </c>
      <c r="J114" s="5" t="s">
        <v>27</v>
      </c>
      <c r="K114" s="5" t="s">
        <v>28</v>
      </c>
      <c r="L114" s="5"/>
      <c r="M114" s="5"/>
      <c r="N114" s="6" t="s">
        <v>563</v>
      </c>
      <c r="O114" s="5" t="s">
        <v>21</v>
      </c>
      <c r="P114" s="5" t="s">
        <v>21</v>
      </c>
      <c r="Q114" s="5" t="s">
        <v>21</v>
      </c>
      <c r="R114" s="5"/>
      <c r="S114" s="5"/>
      <c r="T114" s="5"/>
    </row>
    <row r="115" outlineLevel="2" hidden="0">
      <c r="A115" s="7" t="s">
        <v>564</v>
      </c>
      <c r="B115" s="5" t="s">
        <v>21</v>
      </c>
      <c r="C115" s="5" t="s">
        <v>544</v>
      </c>
      <c r="D115" s="5" t="s">
        <v>31</v>
      </c>
      <c r="E115" s="5" t="s">
        <v>182</v>
      </c>
      <c r="F115" s="5" t="s">
        <v>565</v>
      </c>
      <c r="G115" s="5" t="s">
        <v>566</v>
      </c>
      <c r="H115" s="5" t="s">
        <v>549</v>
      </c>
      <c r="I115" s="5" t="s">
        <v>550</v>
      </c>
      <c r="J115" s="5" t="s">
        <v>27</v>
      </c>
      <c r="K115" s="5" t="s">
        <v>28</v>
      </c>
      <c r="L115" s="5"/>
      <c r="M115" s="5"/>
      <c r="N115" s="6" t="s">
        <v>567</v>
      </c>
      <c r="O115" s="5" t="s">
        <v>21</v>
      </c>
      <c r="P115" s="5" t="s">
        <v>21</v>
      </c>
      <c r="Q115" s="5" t="s">
        <v>21</v>
      </c>
      <c r="R115" s="5"/>
      <c r="S115" s="5"/>
      <c r="T115" s="5"/>
    </row>
    <row r="116" outlineLevel="2" hidden="0">
      <c r="A116" s="7" t="s">
        <v>568</v>
      </c>
      <c r="B116" s="5" t="s">
        <v>21</v>
      </c>
      <c r="C116" s="5" t="s">
        <v>544</v>
      </c>
      <c r="D116" s="5" t="s">
        <v>31</v>
      </c>
      <c r="E116" s="5" t="s">
        <v>53</v>
      </c>
      <c r="F116" s="5" t="s">
        <v>569</v>
      </c>
      <c r="G116" s="5" t="s">
        <v>570</v>
      </c>
      <c r="H116" s="5" t="s">
        <v>571</v>
      </c>
      <c r="I116" s="5" t="s">
        <v>572</v>
      </c>
      <c r="J116" s="5" t="s">
        <v>573</v>
      </c>
      <c r="K116" s="5" t="s">
        <v>574</v>
      </c>
      <c r="L116" s="5"/>
      <c r="M116" s="5"/>
      <c r="N116" s="6" t="s">
        <v>575</v>
      </c>
      <c r="O116" s="5" t="s">
        <v>21</v>
      </c>
      <c r="P116" s="5" t="s">
        <v>21</v>
      </c>
      <c r="Q116" s="5" t="s">
        <v>21</v>
      </c>
      <c r="R116" s="5"/>
      <c r="S116" s="5"/>
      <c r="T116" s="5"/>
    </row>
    <row r="117" outlineLevel="2" hidden="0">
      <c r="A117" s="7" t="s">
        <v>576</v>
      </c>
      <c r="B117" s="5" t="s">
        <v>21</v>
      </c>
      <c r="C117" s="5" t="s">
        <v>544</v>
      </c>
      <c r="D117" s="5" t="s">
        <v>31</v>
      </c>
      <c r="E117" s="5" t="s">
        <v>53</v>
      </c>
      <c r="F117" s="5" t="s">
        <v>577</v>
      </c>
      <c r="G117" s="5" t="s">
        <v>578</v>
      </c>
      <c r="H117" s="5" t="s">
        <v>571</v>
      </c>
      <c r="I117" s="5" t="s">
        <v>572</v>
      </c>
      <c r="J117" s="5" t="s">
        <v>573</v>
      </c>
      <c r="K117" s="5" t="s">
        <v>574</v>
      </c>
      <c r="L117" s="5"/>
      <c r="M117" s="5"/>
      <c r="N117" s="6" t="s">
        <v>579</v>
      </c>
      <c r="O117" s="5" t="s">
        <v>21</v>
      </c>
      <c r="P117" s="5" t="s">
        <v>21</v>
      </c>
      <c r="Q117" s="5" t="s">
        <v>21</v>
      </c>
      <c r="R117" s="5"/>
      <c r="S117" s="5"/>
      <c r="T117" s="5"/>
    </row>
    <row r="118" outlineLevel="2" hidden="0">
      <c r="A118" s="7" t="s">
        <v>580</v>
      </c>
      <c r="B118" s="5" t="s">
        <v>21</v>
      </c>
      <c r="C118" s="5" t="s">
        <v>544</v>
      </c>
      <c r="D118" s="5" t="s">
        <v>31</v>
      </c>
      <c r="E118" s="5" t="s">
        <v>24</v>
      </c>
      <c r="F118" s="5" t="s">
        <v>581</v>
      </c>
      <c r="G118" s="5" t="s">
        <v>582</v>
      </c>
      <c r="H118" s="5" t="s">
        <v>573</v>
      </c>
      <c r="I118" s="5" t="s">
        <v>574</v>
      </c>
      <c r="J118" s="5" t="s">
        <v>27</v>
      </c>
      <c r="K118" s="5" t="s">
        <v>28</v>
      </c>
      <c r="L118" s="5"/>
      <c r="M118" s="5"/>
      <c r="N118" s="6" t="s">
        <v>583</v>
      </c>
      <c r="O118" s="5" t="s">
        <v>21</v>
      </c>
      <c r="P118" s="5" t="s">
        <v>21</v>
      </c>
      <c r="Q118" s="5" t="s">
        <v>21</v>
      </c>
      <c r="R118" s="5"/>
      <c r="S118" s="5"/>
      <c r="T118" s="5"/>
    </row>
    <row r="119" outlineLevel="2" hidden="0">
      <c r="A119" s="7" t="s">
        <v>584</v>
      </c>
      <c r="B119" s="5" t="s">
        <v>21</v>
      </c>
      <c r="C119" s="5" t="s">
        <v>544</v>
      </c>
      <c r="D119" s="5" t="s">
        <v>31</v>
      </c>
      <c r="E119" s="5" t="s">
        <v>24</v>
      </c>
      <c r="F119" s="5" t="s">
        <v>585</v>
      </c>
      <c r="G119" s="5" t="s">
        <v>586</v>
      </c>
      <c r="H119" s="5" t="s">
        <v>573</v>
      </c>
      <c r="I119" s="5" t="s">
        <v>574</v>
      </c>
      <c r="J119" s="5" t="s">
        <v>27</v>
      </c>
      <c r="K119" s="5" t="s">
        <v>28</v>
      </c>
      <c r="L119" s="5"/>
      <c r="M119" s="5"/>
      <c r="N119" s="6" t="s">
        <v>587</v>
      </c>
      <c r="O119" s="5" t="s">
        <v>21</v>
      </c>
      <c r="P119" s="5" t="s">
        <v>21</v>
      </c>
      <c r="Q119" s="5" t="s">
        <v>21</v>
      </c>
      <c r="R119" s="5"/>
      <c r="S119" s="5"/>
      <c r="T119" s="5"/>
    </row>
    <row r="120" outlineLevel="2" hidden="0">
      <c r="A120" s="7" t="s">
        <v>588</v>
      </c>
      <c r="B120" s="5" t="s">
        <v>21</v>
      </c>
      <c r="C120" s="5" t="s">
        <v>544</v>
      </c>
      <c r="D120" s="5" t="s">
        <v>31</v>
      </c>
      <c r="E120" s="5" t="s">
        <v>24</v>
      </c>
      <c r="F120" s="5" t="s">
        <v>589</v>
      </c>
      <c r="G120" s="5" t="s">
        <v>590</v>
      </c>
      <c r="H120" s="5" t="s">
        <v>591</v>
      </c>
      <c r="I120" s="5" t="s">
        <v>592</v>
      </c>
      <c r="J120" s="5" t="s">
        <v>573</v>
      </c>
      <c r="K120" s="5" t="s">
        <v>574</v>
      </c>
      <c r="L120" s="5"/>
      <c r="M120" s="5"/>
      <c r="N120" s="6" t="s">
        <v>593</v>
      </c>
      <c r="O120" s="5" t="s">
        <v>21</v>
      </c>
      <c r="P120" s="5" t="s">
        <v>21</v>
      </c>
      <c r="Q120" s="5" t="s">
        <v>21</v>
      </c>
      <c r="R120" s="5"/>
      <c r="S120" s="5"/>
      <c r="T120" s="5"/>
    </row>
    <row r="121" outlineLevel="2" hidden="0">
      <c r="A121" s="7" t="s">
        <v>594</v>
      </c>
      <c r="B121" s="5" t="s">
        <v>21</v>
      </c>
      <c r="C121" s="5" t="s">
        <v>544</v>
      </c>
      <c r="D121" s="5" t="s">
        <v>31</v>
      </c>
      <c r="E121" s="5" t="s">
        <v>24</v>
      </c>
      <c r="F121" s="5" t="s">
        <v>595</v>
      </c>
      <c r="G121" s="5" t="s">
        <v>596</v>
      </c>
      <c r="H121" s="5" t="s">
        <v>591</v>
      </c>
      <c r="I121" s="5" t="s">
        <v>592</v>
      </c>
      <c r="J121" s="5" t="s">
        <v>573</v>
      </c>
      <c r="K121" s="5" t="s">
        <v>574</v>
      </c>
      <c r="L121" s="5"/>
      <c r="M121" s="5"/>
      <c r="N121" s="6" t="s">
        <v>597</v>
      </c>
      <c r="O121" s="5" t="s">
        <v>21</v>
      </c>
      <c r="P121" s="5" t="s">
        <v>21</v>
      </c>
      <c r="Q121" s="5" t="s">
        <v>21</v>
      </c>
      <c r="R121" s="5"/>
      <c r="S121" s="5"/>
      <c r="T121" s="5"/>
    </row>
    <row r="122" outlineLevel="2" hidden="0">
      <c r="A122" s="55" t="s">
        <v>598</v>
      </c>
      <c r="B122" s="53" t="s">
        <v>21</v>
      </c>
      <c r="C122" s="53" t="s">
        <v>599</v>
      </c>
      <c r="D122" s="53" t="s">
        <v>118</v>
      </c>
      <c r="E122" s="53" t="s">
        <v>119</v>
      </c>
      <c r="F122" s="53" t="s">
        <v>600</v>
      </c>
      <c r="G122" s="53" t="s">
        <v>601</v>
      </c>
      <c r="H122" s="53" t="s">
        <v>602</v>
      </c>
      <c r="I122" s="53" t="s">
        <v>603</v>
      </c>
      <c r="J122" s="53" t="s">
        <v>602</v>
      </c>
      <c r="K122" s="53" t="s">
        <v>603</v>
      </c>
      <c r="L122" s="53" t="s">
        <v>257</v>
      </c>
      <c r="M122" s="53" t="s">
        <v>258</v>
      </c>
      <c r="N122" s="54" t="s">
        <v>604</v>
      </c>
      <c r="O122" s="53" t="s">
        <v>21</v>
      </c>
      <c r="P122" s="53" t="s">
        <v>21</v>
      </c>
      <c r="Q122" s="53" t="s">
        <v>21</v>
      </c>
      <c r="R122" s="53" t="s">
        <v>21</v>
      </c>
      <c r="S122" s="53"/>
      <c r="T122" s="53"/>
    </row>
    <row r="123" outlineLevel="2" hidden="0">
      <c r="A123" s="55" t="s">
        <v>605</v>
      </c>
      <c r="B123" s="53" t="s">
        <v>21</v>
      </c>
      <c r="C123" s="53" t="s">
        <v>599</v>
      </c>
      <c r="D123" s="53" t="s">
        <v>118</v>
      </c>
      <c r="E123" s="53" t="s">
        <v>119</v>
      </c>
      <c r="F123" s="53" t="s">
        <v>606</v>
      </c>
      <c r="G123" s="53" t="s">
        <v>607</v>
      </c>
      <c r="H123" s="53" t="s">
        <v>608</v>
      </c>
      <c r="I123" s="53" t="s">
        <v>609</v>
      </c>
      <c r="J123" s="53" t="s">
        <v>608</v>
      </c>
      <c r="K123" s="53" t="s">
        <v>609</v>
      </c>
      <c r="L123" s="53" t="s">
        <v>27</v>
      </c>
      <c r="M123" s="53" t="s">
        <v>28</v>
      </c>
      <c r="N123" s="54" t="s">
        <v>610</v>
      </c>
      <c r="O123" s="53" t="s">
        <v>21</v>
      </c>
      <c r="P123" s="53" t="s">
        <v>21</v>
      </c>
      <c r="Q123" s="53" t="s">
        <v>21</v>
      </c>
      <c r="R123" s="53" t="s">
        <v>21</v>
      </c>
      <c r="S123" s="53"/>
      <c r="T123" s="53"/>
    </row>
    <row r="124" outlineLevel="2" hidden="0">
      <c r="A124" s="55" t="s">
        <v>611</v>
      </c>
      <c r="B124" s="53" t="s">
        <v>21</v>
      </c>
      <c r="C124" s="53" t="s">
        <v>599</v>
      </c>
      <c r="D124" s="53" t="s">
        <v>118</v>
      </c>
      <c r="E124" s="53" t="s">
        <v>119</v>
      </c>
      <c r="F124" s="53" t="s">
        <v>612</v>
      </c>
      <c r="G124" s="53" t="s">
        <v>613</v>
      </c>
      <c r="H124" s="53" t="s">
        <v>614</v>
      </c>
      <c r="I124" s="53" t="s">
        <v>615</v>
      </c>
      <c r="J124" s="53" t="s">
        <v>614</v>
      </c>
      <c r="K124" s="53" t="s">
        <v>615</v>
      </c>
      <c r="L124" s="53" t="s">
        <v>27</v>
      </c>
      <c r="M124" s="53" t="s">
        <v>28</v>
      </c>
      <c r="N124" s="54" t="s">
        <v>616</v>
      </c>
      <c r="O124" s="53" t="s">
        <v>21</v>
      </c>
      <c r="P124" s="53" t="s">
        <v>21</v>
      </c>
      <c r="Q124" s="53" t="s">
        <v>21</v>
      </c>
      <c r="R124" s="53" t="s">
        <v>21</v>
      </c>
      <c r="S124" s="53"/>
      <c r="T124" s="53"/>
    </row>
    <row r="125" outlineLevel="2" hidden="0">
      <c r="A125" s="55" t="s">
        <v>617</v>
      </c>
      <c r="B125" s="53" t="s">
        <v>21</v>
      </c>
      <c r="C125" s="53" t="s">
        <v>599</v>
      </c>
      <c r="D125" s="53" t="s">
        <v>118</v>
      </c>
      <c r="E125" s="53" t="s">
        <v>119</v>
      </c>
      <c r="F125" s="53" t="s">
        <v>618</v>
      </c>
      <c r="G125" s="53" t="s">
        <v>619</v>
      </c>
      <c r="H125" s="53" t="s">
        <v>620</v>
      </c>
      <c r="I125" s="53" t="s">
        <v>621</v>
      </c>
      <c r="J125" s="53" t="s">
        <v>620</v>
      </c>
      <c r="K125" s="53" t="s">
        <v>621</v>
      </c>
      <c r="L125" s="53" t="s">
        <v>415</v>
      </c>
      <c r="M125" s="53" t="s">
        <v>416</v>
      </c>
      <c r="N125" s="54" t="s">
        <v>622</v>
      </c>
      <c r="O125" s="53" t="s">
        <v>21</v>
      </c>
      <c r="P125" s="53" t="s">
        <v>21</v>
      </c>
      <c r="Q125" s="53" t="s">
        <v>21</v>
      </c>
      <c r="R125" s="53" t="s">
        <v>21</v>
      </c>
      <c r="S125" s="53"/>
      <c r="T125" s="53"/>
    </row>
    <row r="126" outlineLevel="2" hidden="0">
      <c r="A126" s="55" t="s">
        <v>623</v>
      </c>
      <c r="B126" s="53" t="s">
        <v>21</v>
      </c>
      <c r="C126" s="53" t="s">
        <v>599</v>
      </c>
      <c r="D126" s="53" t="s">
        <v>118</v>
      </c>
      <c r="E126" s="53" t="s">
        <v>119</v>
      </c>
      <c r="F126" s="53" t="s">
        <v>624</v>
      </c>
      <c r="G126" s="53" t="s">
        <v>625</v>
      </c>
      <c r="H126" s="53" t="s">
        <v>626</v>
      </c>
      <c r="I126" s="53" t="s">
        <v>627</v>
      </c>
      <c r="J126" s="53" t="s">
        <v>626</v>
      </c>
      <c r="K126" s="53" t="s">
        <v>627</v>
      </c>
      <c r="L126" s="53" t="s">
        <v>27</v>
      </c>
      <c r="M126" s="53" t="s">
        <v>28</v>
      </c>
      <c r="N126" s="54" t="s">
        <v>628</v>
      </c>
      <c r="O126" s="53" t="s">
        <v>21</v>
      </c>
      <c r="P126" s="53" t="s">
        <v>21</v>
      </c>
      <c r="Q126" s="53" t="s">
        <v>21</v>
      </c>
      <c r="R126" s="53" t="s">
        <v>21</v>
      </c>
      <c r="S126" s="53"/>
      <c r="T126" s="53"/>
    </row>
    <row r="127" outlineLevel="2" hidden="0">
      <c r="A127" s="13" t="s">
        <v>629</v>
      </c>
      <c r="B127" s="11" t="s">
        <v>21</v>
      </c>
      <c r="C127" s="11" t="s">
        <v>599</v>
      </c>
      <c r="D127" s="11" t="s">
        <v>31</v>
      </c>
      <c r="E127" s="11" t="s">
        <v>182</v>
      </c>
      <c r="F127" s="11" t="s">
        <v>630</v>
      </c>
      <c r="G127" s="11" t="s">
        <v>631</v>
      </c>
      <c r="H127" s="11" t="s">
        <v>632</v>
      </c>
      <c r="I127" s="11" t="s">
        <v>633</v>
      </c>
      <c r="J127" s="11" t="s">
        <v>27</v>
      </c>
      <c r="K127" s="11" t="s">
        <v>28</v>
      </c>
      <c r="L127" s="11"/>
      <c r="M127" s="11"/>
      <c r="N127" s="12" t="s">
        <v>634</v>
      </c>
      <c r="O127" s="11" t="s">
        <v>21</v>
      </c>
      <c r="P127" s="11" t="s">
        <v>21</v>
      </c>
      <c r="Q127" s="11" t="s">
        <v>21</v>
      </c>
      <c r="R127" s="11"/>
      <c r="S127" s="11"/>
      <c r="T127" s="11"/>
    </row>
    <row r="128" outlineLevel="2" hidden="0">
      <c r="A128" s="13" t="s">
        <v>635</v>
      </c>
      <c r="B128" s="11" t="s">
        <v>21</v>
      </c>
      <c r="C128" s="11" t="s">
        <v>599</v>
      </c>
      <c r="D128" s="11" t="s">
        <v>31</v>
      </c>
      <c r="E128" s="11" t="s">
        <v>182</v>
      </c>
      <c r="F128" s="11" t="s">
        <v>636</v>
      </c>
      <c r="G128" s="11" t="s">
        <v>637</v>
      </c>
      <c r="H128" s="11" t="s">
        <v>632</v>
      </c>
      <c r="I128" s="11" t="s">
        <v>633</v>
      </c>
      <c r="J128" s="11" t="s">
        <v>27</v>
      </c>
      <c r="K128" s="11" t="s">
        <v>28</v>
      </c>
      <c r="L128" s="11"/>
      <c r="M128" s="11"/>
      <c r="N128" s="12" t="s">
        <v>638</v>
      </c>
      <c r="O128" s="11" t="s">
        <v>21</v>
      </c>
      <c r="P128" s="11" t="s">
        <v>21</v>
      </c>
      <c r="Q128" s="11" t="s">
        <v>21</v>
      </c>
      <c r="R128" s="11"/>
      <c r="S128" s="11"/>
      <c r="T128" s="11"/>
    </row>
    <row r="129" outlineLevel="2" hidden="0">
      <c r="A129" s="13" t="s">
        <v>639</v>
      </c>
      <c r="B129" s="11" t="s">
        <v>21</v>
      </c>
      <c r="C129" s="11" t="s">
        <v>599</v>
      </c>
      <c r="D129" s="11" t="s">
        <v>31</v>
      </c>
      <c r="E129" s="11" t="s">
        <v>119</v>
      </c>
      <c r="F129" s="11" t="s">
        <v>640</v>
      </c>
      <c r="G129" s="11" t="s">
        <v>641</v>
      </c>
      <c r="H129" s="11" t="s">
        <v>602</v>
      </c>
      <c r="I129" s="11" t="s">
        <v>603</v>
      </c>
      <c r="J129" s="11" t="s">
        <v>257</v>
      </c>
      <c r="K129" s="11" t="s">
        <v>258</v>
      </c>
      <c r="L129" s="11"/>
      <c r="M129" s="11"/>
      <c r="N129" s="12" t="s">
        <v>642</v>
      </c>
      <c r="O129" s="11" t="s">
        <v>21</v>
      </c>
      <c r="P129" s="11" t="s">
        <v>21</v>
      </c>
      <c r="Q129" s="11" t="s">
        <v>21</v>
      </c>
      <c r="R129" s="11"/>
      <c r="S129" s="11"/>
      <c r="T129" s="11"/>
    </row>
    <row r="130" outlineLevel="2" hidden="0">
      <c r="A130" s="13" t="s">
        <v>643</v>
      </c>
      <c r="B130" s="11" t="s">
        <v>21</v>
      </c>
      <c r="C130" s="11" t="s">
        <v>599</v>
      </c>
      <c r="D130" s="11" t="s">
        <v>31</v>
      </c>
      <c r="E130" s="11" t="s">
        <v>119</v>
      </c>
      <c r="F130" s="11" t="s">
        <v>644</v>
      </c>
      <c r="G130" s="11" t="s">
        <v>645</v>
      </c>
      <c r="H130" s="11" t="s">
        <v>602</v>
      </c>
      <c r="I130" s="11" t="s">
        <v>603</v>
      </c>
      <c r="J130" s="11" t="s">
        <v>257</v>
      </c>
      <c r="K130" s="11" t="s">
        <v>258</v>
      </c>
      <c r="L130" s="11"/>
      <c r="M130" s="11"/>
      <c r="N130" s="12" t="s">
        <v>646</v>
      </c>
      <c r="O130" s="11" t="s">
        <v>21</v>
      </c>
      <c r="P130" s="11" t="s">
        <v>21</v>
      </c>
      <c r="Q130" s="11" t="s">
        <v>21</v>
      </c>
      <c r="R130" s="11"/>
      <c r="S130" s="11"/>
      <c r="T130" s="11"/>
    </row>
    <row r="131" outlineLevel="2" hidden="0">
      <c r="A131" s="13" t="s">
        <v>647</v>
      </c>
      <c r="B131" s="11" t="s">
        <v>21</v>
      </c>
      <c r="C131" s="11" t="s">
        <v>599</v>
      </c>
      <c r="D131" s="11" t="s">
        <v>31</v>
      </c>
      <c r="E131" s="11" t="s">
        <v>119</v>
      </c>
      <c r="F131" s="11" t="s">
        <v>648</v>
      </c>
      <c r="G131" s="11" t="s">
        <v>649</v>
      </c>
      <c r="H131" s="11" t="s">
        <v>608</v>
      </c>
      <c r="I131" s="11" t="s">
        <v>609</v>
      </c>
      <c r="J131" s="11" t="s">
        <v>27</v>
      </c>
      <c r="K131" s="11" t="s">
        <v>28</v>
      </c>
      <c r="L131" s="11"/>
      <c r="M131" s="11"/>
      <c r="N131" s="12" t="s">
        <v>650</v>
      </c>
      <c r="O131" s="11" t="s">
        <v>21</v>
      </c>
      <c r="P131" s="11" t="s">
        <v>21</v>
      </c>
      <c r="Q131" s="11" t="s">
        <v>21</v>
      </c>
      <c r="R131" s="11"/>
      <c r="S131" s="11"/>
      <c r="T131" s="11"/>
    </row>
    <row r="132" outlineLevel="2" hidden="0">
      <c r="A132" s="13" t="s">
        <v>651</v>
      </c>
      <c r="B132" s="11" t="s">
        <v>21</v>
      </c>
      <c r="C132" s="11" t="s">
        <v>599</v>
      </c>
      <c r="D132" s="11" t="s">
        <v>31</v>
      </c>
      <c r="E132" s="11" t="s">
        <v>119</v>
      </c>
      <c r="F132" s="11" t="s">
        <v>652</v>
      </c>
      <c r="G132" s="11" t="s">
        <v>653</v>
      </c>
      <c r="H132" s="11" t="s">
        <v>608</v>
      </c>
      <c r="I132" s="11" t="s">
        <v>609</v>
      </c>
      <c r="J132" s="11" t="s">
        <v>27</v>
      </c>
      <c r="K132" s="11" t="s">
        <v>28</v>
      </c>
      <c r="L132" s="11"/>
      <c r="M132" s="11"/>
      <c r="N132" s="12" t="s">
        <v>654</v>
      </c>
      <c r="O132" s="11" t="s">
        <v>21</v>
      </c>
      <c r="P132" s="11" t="s">
        <v>21</v>
      </c>
      <c r="Q132" s="11" t="s">
        <v>21</v>
      </c>
      <c r="R132" s="11"/>
      <c r="S132" s="11"/>
      <c r="T132" s="11"/>
    </row>
    <row r="133" outlineLevel="2" hidden="0">
      <c r="A133" s="13" t="s">
        <v>655</v>
      </c>
      <c r="B133" s="11" t="s">
        <v>21</v>
      </c>
      <c r="C133" s="11" t="s">
        <v>599</v>
      </c>
      <c r="D133" s="11" t="s">
        <v>31</v>
      </c>
      <c r="E133" s="11" t="s">
        <v>24</v>
      </c>
      <c r="F133" s="11" t="s">
        <v>656</v>
      </c>
      <c r="G133" s="11" t="s">
        <v>657</v>
      </c>
      <c r="H133" s="11" t="s">
        <v>658</v>
      </c>
      <c r="I133" s="11" t="s">
        <v>659</v>
      </c>
      <c r="J133" s="11" t="s">
        <v>27</v>
      </c>
      <c r="K133" s="11" t="s">
        <v>28</v>
      </c>
      <c r="L133" s="11"/>
      <c r="M133" s="11"/>
      <c r="N133" s="12" t="s">
        <v>660</v>
      </c>
      <c r="O133" s="11" t="s">
        <v>21</v>
      </c>
      <c r="P133" s="11" t="s">
        <v>21</v>
      </c>
      <c r="Q133" s="11" t="s">
        <v>21</v>
      </c>
      <c r="R133" s="11"/>
      <c r="S133" s="11"/>
      <c r="T133" s="11"/>
    </row>
    <row r="134" outlineLevel="2" hidden="0">
      <c r="A134" s="13" t="s">
        <v>661</v>
      </c>
      <c r="B134" s="11" t="s">
        <v>21</v>
      </c>
      <c r="C134" s="11" t="s">
        <v>599</v>
      </c>
      <c r="D134" s="11" t="s">
        <v>31</v>
      </c>
      <c r="E134" s="11" t="s">
        <v>24</v>
      </c>
      <c r="F134" s="11" t="s">
        <v>662</v>
      </c>
      <c r="G134" s="11" t="s">
        <v>663</v>
      </c>
      <c r="H134" s="11" t="s">
        <v>658</v>
      </c>
      <c r="I134" s="11" t="s">
        <v>659</v>
      </c>
      <c r="J134" s="11" t="s">
        <v>27</v>
      </c>
      <c r="K134" s="11" t="s">
        <v>28</v>
      </c>
      <c r="L134" s="11"/>
      <c r="M134" s="11"/>
      <c r="N134" s="12" t="s">
        <v>664</v>
      </c>
      <c r="O134" s="11" t="s">
        <v>21</v>
      </c>
      <c r="P134" s="11" t="s">
        <v>21</v>
      </c>
      <c r="Q134" s="11" t="s">
        <v>21</v>
      </c>
      <c r="R134" s="11"/>
      <c r="S134" s="11"/>
      <c r="T134" s="11"/>
    </row>
    <row r="135" outlineLevel="2" hidden="0">
      <c r="A135" s="13" t="s">
        <v>665</v>
      </c>
      <c r="B135" s="11" t="s">
        <v>21</v>
      </c>
      <c r="C135" s="11" t="s">
        <v>599</v>
      </c>
      <c r="D135" s="11" t="s">
        <v>31</v>
      </c>
      <c r="E135" s="11" t="s">
        <v>119</v>
      </c>
      <c r="F135" s="11" t="s">
        <v>666</v>
      </c>
      <c r="G135" s="11" t="s">
        <v>667</v>
      </c>
      <c r="H135" s="11" t="s">
        <v>614</v>
      </c>
      <c r="I135" s="11" t="s">
        <v>615</v>
      </c>
      <c r="J135" s="11" t="s">
        <v>27</v>
      </c>
      <c r="K135" s="11" t="s">
        <v>28</v>
      </c>
      <c r="L135" s="11"/>
      <c r="M135" s="11"/>
      <c r="N135" s="12" t="s">
        <v>668</v>
      </c>
      <c r="O135" s="11" t="s">
        <v>21</v>
      </c>
      <c r="P135" s="11" t="s">
        <v>21</v>
      </c>
      <c r="Q135" s="11" t="s">
        <v>21</v>
      </c>
      <c r="R135" s="11"/>
      <c r="S135" s="11"/>
      <c r="T135" s="11"/>
    </row>
    <row r="136" outlineLevel="2" hidden="0">
      <c r="A136" s="13" t="s">
        <v>669</v>
      </c>
      <c r="B136" s="11" t="s">
        <v>21</v>
      </c>
      <c r="C136" s="11" t="s">
        <v>599</v>
      </c>
      <c r="D136" s="11" t="s">
        <v>31</v>
      </c>
      <c r="E136" s="11" t="s">
        <v>119</v>
      </c>
      <c r="F136" s="11" t="s">
        <v>670</v>
      </c>
      <c r="G136" s="11" t="s">
        <v>671</v>
      </c>
      <c r="H136" s="11" t="s">
        <v>614</v>
      </c>
      <c r="I136" s="11" t="s">
        <v>615</v>
      </c>
      <c r="J136" s="11" t="s">
        <v>27</v>
      </c>
      <c r="K136" s="11" t="s">
        <v>28</v>
      </c>
      <c r="L136" s="11"/>
      <c r="M136" s="11"/>
      <c r="N136" s="12" t="s">
        <v>672</v>
      </c>
      <c r="O136" s="11" t="s">
        <v>21</v>
      </c>
      <c r="P136" s="11" t="s">
        <v>21</v>
      </c>
      <c r="Q136" s="11" t="s">
        <v>21</v>
      </c>
      <c r="R136" s="11"/>
      <c r="S136" s="11"/>
      <c r="T136" s="11"/>
    </row>
    <row r="137" outlineLevel="2" hidden="0">
      <c r="A137" s="13" t="s">
        <v>673</v>
      </c>
      <c r="B137" s="11" t="s">
        <v>21</v>
      </c>
      <c r="C137" s="11" t="s">
        <v>599</v>
      </c>
      <c r="D137" s="11" t="s">
        <v>31</v>
      </c>
      <c r="E137" s="11" t="s">
        <v>24</v>
      </c>
      <c r="F137" s="11" t="s">
        <v>674</v>
      </c>
      <c r="G137" s="11" t="s">
        <v>675</v>
      </c>
      <c r="H137" s="11" t="s">
        <v>676</v>
      </c>
      <c r="I137" s="11" t="s">
        <v>677</v>
      </c>
      <c r="J137" s="11" t="s">
        <v>27</v>
      </c>
      <c r="K137" s="11" t="s">
        <v>28</v>
      </c>
      <c r="L137" s="11"/>
      <c r="M137" s="11"/>
      <c r="N137" s="12" t="s">
        <v>678</v>
      </c>
      <c r="O137" s="11" t="s">
        <v>21</v>
      </c>
      <c r="P137" s="11" t="s">
        <v>21</v>
      </c>
      <c r="Q137" s="11" t="s">
        <v>21</v>
      </c>
      <c r="R137" s="11"/>
      <c r="S137" s="11"/>
      <c r="T137" s="11"/>
    </row>
    <row r="138" outlineLevel="2" hidden="0">
      <c r="A138" s="13" t="s">
        <v>679</v>
      </c>
      <c r="B138" s="11" t="s">
        <v>21</v>
      </c>
      <c r="C138" s="11" t="s">
        <v>599</v>
      </c>
      <c r="D138" s="11" t="s">
        <v>31</v>
      </c>
      <c r="E138" s="11" t="s">
        <v>24</v>
      </c>
      <c r="F138" s="11" t="s">
        <v>680</v>
      </c>
      <c r="G138" s="11" t="s">
        <v>681</v>
      </c>
      <c r="H138" s="11" t="s">
        <v>676</v>
      </c>
      <c r="I138" s="11" t="s">
        <v>677</v>
      </c>
      <c r="J138" s="11" t="s">
        <v>27</v>
      </c>
      <c r="K138" s="11" t="s">
        <v>28</v>
      </c>
      <c r="L138" s="11"/>
      <c r="M138" s="11"/>
      <c r="N138" s="12" t="s">
        <v>682</v>
      </c>
      <c r="O138" s="11" t="s">
        <v>21</v>
      </c>
      <c r="P138" s="11" t="s">
        <v>21</v>
      </c>
      <c r="Q138" s="11" t="s">
        <v>21</v>
      </c>
      <c r="R138" s="11"/>
      <c r="S138" s="11"/>
      <c r="T138" s="11"/>
    </row>
    <row r="139" outlineLevel="2" hidden="0">
      <c r="A139" s="13" t="s">
        <v>683</v>
      </c>
      <c r="B139" s="11" t="s">
        <v>21</v>
      </c>
      <c r="C139" s="11" t="s">
        <v>599</v>
      </c>
      <c r="D139" s="11" t="s">
        <v>31</v>
      </c>
      <c r="E139" s="11" t="s">
        <v>53</v>
      </c>
      <c r="F139" s="11" t="s">
        <v>684</v>
      </c>
      <c r="G139" s="11" t="s">
        <v>685</v>
      </c>
      <c r="H139" s="11" t="s">
        <v>686</v>
      </c>
      <c r="I139" s="11" t="s">
        <v>687</v>
      </c>
      <c r="J139" s="11" t="s">
        <v>676</v>
      </c>
      <c r="K139" s="11" t="s">
        <v>677</v>
      </c>
      <c r="L139" s="11"/>
      <c r="M139" s="11"/>
      <c r="N139" s="12" t="s">
        <v>688</v>
      </c>
      <c r="O139" s="11" t="s">
        <v>21</v>
      </c>
      <c r="P139" s="11" t="s">
        <v>21</v>
      </c>
      <c r="Q139" s="11" t="s">
        <v>21</v>
      </c>
      <c r="R139" s="11"/>
      <c r="S139" s="11"/>
      <c r="T139" s="11"/>
    </row>
    <row r="140" outlineLevel="2" hidden="0">
      <c r="A140" s="13" t="s">
        <v>689</v>
      </c>
      <c r="B140" s="11" t="s">
        <v>21</v>
      </c>
      <c r="C140" s="11" t="s">
        <v>599</v>
      </c>
      <c r="D140" s="11" t="s">
        <v>31</v>
      </c>
      <c r="E140" s="11" t="s">
        <v>53</v>
      </c>
      <c r="F140" s="11" t="s">
        <v>690</v>
      </c>
      <c r="G140" s="11" t="s">
        <v>691</v>
      </c>
      <c r="H140" s="11" t="s">
        <v>686</v>
      </c>
      <c r="I140" s="11" t="s">
        <v>687</v>
      </c>
      <c r="J140" s="11" t="s">
        <v>676</v>
      </c>
      <c r="K140" s="11" t="s">
        <v>677</v>
      </c>
      <c r="L140" s="11"/>
      <c r="M140" s="11"/>
      <c r="N140" s="12" t="s">
        <v>692</v>
      </c>
      <c r="O140" s="11" t="s">
        <v>21</v>
      </c>
      <c r="P140" s="11" t="s">
        <v>21</v>
      </c>
      <c r="Q140" s="11" t="s">
        <v>21</v>
      </c>
      <c r="R140" s="11"/>
      <c r="S140" s="11"/>
      <c r="T140" s="11"/>
    </row>
    <row r="141" outlineLevel="2" hidden="0">
      <c r="A141" s="13" t="s">
        <v>693</v>
      </c>
      <c r="B141" s="11" t="s">
        <v>21</v>
      </c>
      <c r="C141" s="11" t="s">
        <v>599</v>
      </c>
      <c r="D141" s="11" t="s">
        <v>31</v>
      </c>
      <c r="E141" s="11" t="s">
        <v>119</v>
      </c>
      <c r="F141" s="11" t="s">
        <v>694</v>
      </c>
      <c r="G141" s="11" t="s">
        <v>695</v>
      </c>
      <c r="H141" s="11" t="s">
        <v>620</v>
      </c>
      <c r="I141" s="11" t="s">
        <v>621</v>
      </c>
      <c r="J141" s="11" t="s">
        <v>415</v>
      </c>
      <c r="K141" s="11" t="s">
        <v>416</v>
      </c>
      <c r="L141" s="11"/>
      <c r="M141" s="11"/>
      <c r="N141" s="12" t="s">
        <v>696</v>
      </c>
      <c r="O141" s="11" t="s">
        <v>21</v>
      </c>
      <c r="P141" s="11" t="s">
        <v>21</v>
      </c>
      <c r="Q141" s="11" t="s">
        <v>21</v>
      </c>
      <c r="R141" s="11"/>
      <c r="S141" s="11"/>
      <c r="T141" s="11"/>
    </row>
    <row r="142" outlineLevel="2" hidden="0">
      <c r="A142" s="13" t="s">
        <v>697</v>
      </c>
      <c r="B142" s="11" t="s">
        <v>21</v>
      </c>
      <c r="C142" s="11" t="s">
        <v>599</v>
      </c>
      <c r="D142" s="11" t="s">
        <v>31</v>
      </c>
      <c r="E142" s="11" t="s">
        <v>119</v>
      </c>
      <c r="F142" s="11" t="s">
        <v>698</v>
      </c>
      <c r="G142" s="11" t="s">
        <v>699</v>
      </c>
      <c r="H142" s="11" t="s">
        <v>620</v>
      </c>
      <c r="I142" s="11" t="s">
        <v>621</v>
      </c>
      <c r="J142" s="11" t="s">
        <v>415</v>
      </c>
      <c r="K142" s="11" t="s">
        <v>416</v>
      </c>
      <c r="L142" s="11"/>
      <c r="M142" s="11"/>
      <c r="N142" s="12" t="s">
        <v>700</v>
      </c>
      <c r="O142" s="11" t="s">
        <v>21</v>
      </c>
      <c r="P142" s="11" t="s">
        <v>21</v>
      </c>
      <c r="Q142" s="11" t="s">
        <v>21</v>
      </c>
      <c r="R142" s="11"/>
      <c r="S142" s="11"/>
      <c r="T142" s="11"/>
    </row>
    <row r="143" outlineLevel="2" hidden="0">
      <c r="A143" s="13" t="s">
        <v>701</v>
      </c>
      <c r="B143" s="11" t="s">
        <v>21</v>
      </c>
      <c r="C143" s="11" t="s">
        <v>599</v>
      </c>
      <c r="D143" s="11" t="s">
        <v>31</v>
      </c>
      <c r="E143" s="11" t="s">
        <v>119</v>
      </c>
      <c r="F143" s="11" t="s">
        <v>702</v>
      </c>
      <c r="G143" s="11" t="s">
        <v>703</v>
      </c>
      <c r="H143" s="11" t="s">
        <v>626</v>
      </c>
      <c r="I143" s="11" t="s">
        <v>627</v>
      </c>
      <c r="J143" s="11" t="s">
        <v>27</v>
      </c>
      <c r="K143" s="11" t="s">
        <v>28</v>
      </c>
      <c r="L143" s="11"/>
      <c r="M143" s="11"/>
      <c r="N143" s="12" t="s">
        <v>704</v>
      </c>
      <c r="O143" s="11" t="s">
        <v>21</v>
      </c>
      <c r="P143" s="11" t="s">
        <v>21</v>
      </c>
      <c r="Q143" s="11" t="s">
        <v>21</v>
      </c>
      <c r="R143" s="11"/>
      <c r="S143" s="11"/>
      <c r="T143" s="11"/>
    </row>
    <row r="144" outlineLevel="2" hidden="0">
      <c r="A144" s="13" t="s">
        <v>705</v>
      </c>
      <c r="B144" s="11" t="s">
        <v>21</v>
      </c>
      <c r="C144" s="11" t="s">
        <v>599</v>
      </c>
      <c r="D144" s="11" t="s">
        <v>31</v>
      </c>
      <c r="E144" s="11" t="s">
        <v>119</v>
      </c>
      <c r="F144" s="11" t="s">
        <v>706</v>
      </c>
      <c r="G144" s="11" t="s">
        <v>707</v>
      </c>
      <c r="H144" s="11" t="s">
        <v>626</v>
      </c>
      <c r="I144" s="11" t="s">
        <v>627</v>
      </c>
      <c r="J144" s="11" t="s">
        <v>27</v>
      </c>
      <c r="K144" s="11" t="s">
        <v>28</v>
      </c>
      <c r="L144" s="11"/>
      <c r="M144" s="11"/>
      <c r="N144" s="12" t="s">
        <v>708</v>
      </c>
      <c r="O144" s="11" t="s">
        <v>21</v>
      </c>
      <c r="P144" s="11" t="s">
        <v>21</v>
      </c>
      <c r="Q144" s="11" t="s">
        <v>21</v>
      </c>
      <c r="R144" s="11"/>
      <c r="S144" s="11"/>
      <c r="T144" s="11"/>
    </row>
    <row r="145" outlineLevel="2" hidden="0">
      <c r="A145" s="13" t="s">
        <v>709</v>
      </c>
      <c r="B145" s="11" t="s">
        <v>21</v>
      </c>
      <c r="C145" s="11" t="s">
        <v>599</v>
      </c>
      <c r="D145" s="11" t="s">
        <v>31</v>
      </c>
      <c r="E145" s="11" t="s">
        <v>24</v>
      </c>
      <c r="F145" s="11" t="s">
        <v>710</v>
      </c>
      <c r="G145" s="11" t="s">
        <v>711</v>
      </c>
      <c r="H145" s="11" t="s">
        <v>712</v>
      </c>
      <c r="I145" s="11" t="s">
        <v>713</v>
      </c>
      <c r="J145" s="11" t="s">
        <v>658</v>
      </c>
      <c r="K145" s="11" t="s">
        <v>659</v>
      </c>
      <c r="L145" s="11"/>
      <c r="M145" s="11"/>
      <c r="N145" s="12" t="s">
        <v>714</v>
      </c>
      <c r="O145" s="11" t="s">
        <v>21</v>
      </c>
      <c r="P145" s="11" t="s">
        <v>21</v>
      </c>
      <c r="Q145" s="11" t="s">
        <v>21</v>
      </c>
      <c r="R145" s="11"/>
      <c r="S145" s="11"/>
      <c r="T145" s="11"/>
    </row>
    <row r="146" outlineLevel="2" hidden="0">
      <c r="A146" s="13" t="s">
        <v>715</v>
      </c>
      <c r="B146" s="11" t="s">
        <v>21</v>
      </c>
      <c r="C146" s="11" t="s">
        <v>599</v>
      </c>
      <c r="D146" s="11" t="s">
        <v>31</v>
      </c>
      <c r="E146" s="11" t="s">
        <v>24</v>
      </c>
      <c r="F146" s="11" t="s">
        <v>716</v>
      </c>
      <c r="G146" s="11" t="s">
        <v>717</v>
      </c>
      <c r="H146" s="11" t="s">
        <v>712</v>
      </c>
      <c r="I146" s="11" t="s">
        <v>713</v>
      </c>
      <c r="J146" s="11" t="s">
        <v>658</v>
      </c>
      <c r="K146" s="11" t="s">
        <v>659</v>
      </c>
      <c r="L146" s="11"/>
      <c r="M146" s="11"/>
      <c r="N146" s="12" t="s">
        <v>718</v>
      </c>
      <c r="O146" s="11" t="s">
        <v>21</v>
      </c>
      <c r="P146" s="11" t="s">
        <v>21</v>
      </c>
      <c r="Q146" s="11" t="s">
        <v>21</v>
      </c>
      <c r="R146" s="11"/>
      <c r="S146" s="11"/>
      <c r="T146" s="11"/>
    </row>
    <row r="147" outlineLevel="2" hidden="0">
      <c r="A147" s="19" t="s">
        <v>719</v>
      </c>
      <c r="B147" s="17" t="s">
        <v>21</v>
      </c>
      <c r="C147" s="17" t="s">
        <v>720</v>
      </c>
      <c r="D147" s="17" t="s">
        <v>23</v>
      </c>
      <c r="E147" s="17" t="s">
        <v>24</v>
      </c>
      <c r="F147" s="17" t="s">
        <v>721</v>
      </c>
      <c r="G147" s="17" t="s">
        <v>722</v>
      </c>
      <c r="H147" s="17" t="s">
        <v>723</v>
      </c>
      <c r="I147" s="17" t="s">
        <v>724</v>
      </c>
      <c r="J147" s="17" t="s">
        <v>27</v>
      </c>
      <c r="K147" s="17" t="s">
        <v>28</v>
      </c>
      <c r="L147" s="17"/>
      <c r="M147" s="17"/>
      <c r="N147" s="18" t="s">
        <v>725</v>
      </c>
      <c r="O147" s="17" t="s">
        <v>21</v>
      </c>
      <c r="P147" s="17" t="s">
        <v>21</v>
      </c>
      <c r="Q147" s="17" t="s">
        <v>21</v>
      </c>
      <c r="R147" s="17"/>
      <c r="S147" s="17"/>
      <c r="T147" s="17"/>
    </row>
    <row r="148" outlineLevel="2" hidden="0">
      <c r="A148" s="19" t="s">
        <v>726</v>
      </c>
      <c r="B148" s="17" t="s">
        <v>21</v>
      </c>
      <c r="C148" s="17" t="s">
        <v>720</v>
      </c>
      <c r="D148" s="17" t="s">
        <v>23</v>
      </c>
      <c r="E148" s="17" t="s">
        <v>24</v>
      </c>
      <c r="F148" s="17" t="s">
        <v>727</v>
      </c>
      <c r="G148" s="17" t="s">
        <v>728</v>
      </c>
      <c r="H148" s="17" t="s">
        <v>729</v>
      </c>
      <c r="I148" s="17" t="s">
        <v>730</v>
      </c>
      <c r="J148" s="17" t="s">
        <v>27</v>
      </c>
      <c r="K148" s="17" t="s">
        <v>28</v>
      </c>
      <c r="L148" s="17"/>
      <c r="M148" s="17"/>
      <c r="N148" s="18" t="s">
        <v>731</v>
      </c>
      <c r="O148" s="17" t="s">
        <v>21</v>
      </c>
      <c r="P148" s="17" t="s">
        <v>21</v>
      </c>
      <c r="Q148" s="17" t="s">
        <v>21</v>
      </c>
      <c r="R148" s="17"/>
      <c r="S148" s="17"/>
      <c r="T148" s="17"/>
    </row>
    <row r="149" outlineLevel="2" hidden="0">
      <c r="A149" s="22" t="s">
        <v>732</v>
      </c>
      <c r="B149" s="20" t="s">
        <v>21</v>
      </c>
      <c r="C149" s="20" t="s">
        <v>720</v>
      </c>
      <c r="D149" s="20" t="s">
        <v>31</v>
      </c>
      <c r="E149" s="20" t="s">
        <v>53</v>
      </c>
      <c r="F149" s="20" t="s">
        <v>733</v>
      </c>
      <c r="G149" s="20" t="s">
        <v>734</v>
      </c>
      <c r="H149" s="20" t="s">
        <v>735</v>
      </c>
      <c r="I149" s="20" t="s">
        <v>736</v>
      </c>
      <c r="J149" s="20" t="s">
        <v>27</v>
      </c>
      <c r="K149" s="20" t="s">
        <v>28</v>
      </c>
      <c r="L149" s="20"/>
      <c r="M149" s="20"/>
      <c r="N149" s="21" t="s">
        <v>737</v>
      </c>
      <c r="O149" s="20" t="s">
        <v>21</v>
      </c>
      <c r="P149" s="20" t="s">
        <v>21</v>
      </c>
      <c r="Q149" s="20" t="s">
        <v>21</v>
      </c>
      <c r="R149" s="20"/>
      <c r="S149" s="20"/>
      <c r="T149" s="20"/>
    </row>
    <row r="150" outlineLevel="2" hidden="0">
      <c r="A150" s="22" t="s">
        <v>738</v>
      </c>
      <c r="B150" s="20" t="s">
        <v>21</v>
      </c>
      <c r="C150" s="20" t="s">
        <v>720</v>
      </c>
      <c r="D150" s="20" t="s">
        <v>31</v>
      </c>
      <c r="E150" s="20" t="s">
        <v>53</v>
      </c>
      <c r="F150" s="20" t="s">
        <v>739</v>
      </c>
      <c r="G150" s="20" t="s">
        <v>740</v>
      </c>
      <c r="H150" s="20" t="s">
        <v>735</v>
      </c>
      <c r="I150" s="20" t="s">
        <v>736</v>
      </c>
      <c r="J150" s="20" t="s">
        <v>27</v>
      </c>
      <c r="K150" s="20" t="s">
        <v>28</v>
      </c>
      <c r="L150" s="20"/>
      <c r="M150" s="20"/>
      <c r="N150" s="21" t="s">
        <v>741</v>
      </c>
      <c r="O150" s="20" t="s">
        <v>21</v>
      </c>
      <c r="P150" s="20" t="s">
        <v>21</v>
      </c>
      <c r="Q150" s="20" t="s">
        <v>21</v>
      </c>
      <c r="R150" s="20"/>
      <c r="S150" s="20"/>
      <c r="T150" s="20"/>
    </row>
    <row r="151" outlineLevel="2" hidden="0">
      <c r="A151" s="22" t="s">
        <v>742</v>
      </c>
      <c r="B151" s="20" t="s">
        <v>21</v>
      </c>
      <c r="C151" s="20" t="s">
        <v>720</v>
      </c>
      <c r="D151" s="20" t="s">
        <v>31</v>
      </c>
      <c r="E151" s="20" t="s">
        <v>182</v>
      </c>
      <c r="F151" s="20" t="s">
        <v>743</v>
      </c>
      <c r="G151" s="20" t="s">
        <v>744</v>
      </c>
      <c r="H151" s="20" t="s">
        <v>745</v>
      </c>
      <c r="I151" s="20" t="s">
        <v>746</v>
      </c>
      <c r="J151" s="20" t="s">
        <v>27</v>
      </c>
      <c r="K151" s="20" t="s">
        <v>28</v>
      </c>
      <c r="L151" s="20"/>
      <c r="M151" s="20"/>
      <c r="N151" s="21" t="s">
        <v>747</v>
      </c>
      <c r="O151" s="20" t="s">
        <v>21</v>
      </c>
      <c r="P151" s="20" t="s">
        <v>21</v>
      </c>
      <c r="Q151" s="20" t="s">
        <v>21</v>
      </c>
      <c r="R151" s="20"/>
      <c r="S151" s="20"/>
      <c r="T151" s="20"/>
    </row>
    <row r="152" outlineLevel="2" hidden="0">
      <c r="A152" s="22" t="s">
        <v>748</v>
      </c>
      <c r="B152" s="20" t="s">
        <v>21</v>
      </c>
      <c r="C152" s="20" t="s">
        <v>720</v>
      </c>
      <c r="D152" s="20" t="s">
        <v>31</v>
      </c>
      <c r="E152" s="20" t="s">
        <v>182</v>
      </c>
      <c r="F152" s="20" t="s">
        <v>749</v>
      </c>
      <c r="G152" s="20" t="s">
        <v>750</v>
      </c>
      <c r="H152" s="20" t="s">
        <v>745</v>
      </c>
      <c r="I152" s="20" t="s">
        <v>746</v>
      </c>
      <c r="J152" s="20" t="s">
        <v>27</v>
      </c>
      <c r="K152" s="20" t="s">
        <v>28</v>
      </c>
      <c r="L152" s="20"/>
      <c r="M152" s="20"/>
      <c r="N152" s="21" t="s">
        <v>751</v>
      </c>
      <c r="O152" s="20" t="s">
        <v>21</v>
      </c>
      <c r="P152" s="20" t="s">
        <v>21</v>
      </c>
      <c r="Q152" s="20" t="s">
        <v>21</v>
      </c>
      <c r="R152" s="20"/>
      <c r="S152" s="20"/>
      <c r="T152" s="20"/>
    </row>
    <row r="153" outlineLevel="2" hidden="0">
      <c r="A153" s="22" t="s">
        <v>752</v>
      </c>
      <c r="B153" s="20" t="s">
        <v>21</v>
      </c>
      <c r="C153" s="20" t="s">
        <v>720</v>
      </c>
      <c r="D153" s="20" t="s">
        <v>31</v>
      </c>
      <c r="E153" s="20" t="s">
        <v>24</v>
      </c>
      <c r="F153" s="20" t="s">
        <v>753</v>
      </c>
      <c r="G153" s="20" t="s">
        <v>722</v>
      </c>
      <c r="H153" s="20" t="s">
        <v>723</v>
      </c>
      <c r="I153" s="20" t="s">
        <v>724</v>
      </c>
      <c r="J153" s="20" t="s">
        <v>27</v>
      </c>
      <c r="K153" s="20" t="s">
        <v>28</v>
      </c>
      <c r="L153" s="20"/>
      <c r="M153" s="20"/>
      <c r="N153" s="21" t="s">
        <v>754</v>
      </c>
      <c r="O153" s="20" t="s">
        <v>21</v>
      </c>
      <c r="P153" s="20" t="s">
        <v>21</v>
      </c>
      <c r="Q153" s="20" t="s">
        <v>21</v>
      </c>
      <c r="R153" s="20"/>
      <c r="S153" s="20"/>
      <c r="T153" s="20"/>
    </row>
    <row r="154" outlineLevel="2" hidden="0">
      <c r="A154" s="22" t="s">
        <v>755</v>
      </c>
      <c r="B154" s="20" t="s">
        <v>21</v>
      </c>
      <c r="C154" s="20" t="s">
        <v>720</v>
      </c>
      <c r="D154" s="20" t="s">
        <v>31</v>
      </c>
      <c r="E154" s="20" t="s">
        <v>24</v>
      </c>
      <c r="F154" s="20" t="s">
        <v>756</v>
      </c>
      <c r="G154" s="20" t="s">
        <v>757</v>
      </c>
      <c r="H154" s="20" t="s">
        <v>723</v>
      </c>
      <c r="I154" s="20" t="s">
        <v>724</v>
      </c>
      <c r="J154" s="20" t="s">
        <v>27</v>
      </c>
      <c r="K154" s="20" t="s">
        <v>28</v>
      </c>
      <c r="L154" s="20"/>
      <c r="M154" s="20"/>
      <c r="N154" s="21" t="s">
        <v>758</v>
      </c>
      <c r="O154" s="20" t="s">
        <v>21</v>
      </c>
      <c r="P154" s="20" t="s">
        <v>21</v>
      </c>
      <c r="Q154" s="20" t="s">
        <v>21</v>
      </c>
      <c r="R154" s="20"/>
      <c r="S154" s="20"/>
      <c r="T154" s="20"/>
    </row>
    <row r="155" outlineLevel="2" hidden="0">
      <c r="A155" s="22" t="s">
        <v>759</v>
      </c>
      <c r="B155" s="20" t="s">
        <v>21</v>
      </c>
      <c r="C155" s="20" t="s">
        <v>720</v>
      </c>
      <c r="D155" s="20" t="s">
        <v>31</v>
      </c>
      <c r="E155" s="20" t="s">
        <v>24</v>
      </c>
      <c r="F155" s="20" t="s">
        <v>760</v>
      </c>
      <c r="G155" s="20" t="s">
        <v>728</v>
      </c>
      <c r="H155" s="20" t="s">
        <v>729</v>
      </c>
      <c r="I155" s="20" t="s">
        <v>730</v>
      </c>
      <c r="J155" s="20" t="s">
        <v>27</v>
      </c>
      <c r="K155" s="20" t="s">
        <v>28</v>
      </c>
      <c r="L155" s="20"/>
      <c r="M155" s="20"/>
      <c r="N155" s="21" t="s">
        <v>761</v>
      </c>
      <c r="O155" s="20" t="s">
        <v>21</v>
      </c>
      <c r="P155" s="20" t="s">
        <v>21</v>
      </c>
      <c r="Q155" s="20" t="s">
        <v>21</v>
      </c>
      <c r="R155" s="20"/>
      <c r="S155" s="20"/>
      <c r="T155" s="20"/>
    </row>
    <row r="156" outlineLevel="2" hidden="0">
      <c r="A156" s="22" t="s">
        <v>762</v>
      </c>
      <c r="B156" s="20" t="s">
        <v>21</v>
      </c>
      <c r="C156" s="20" t="s">
        <v>720</v>
      </c>
      <c r="D156" s="20" t="s">
        <v>31</v>
      </c>
      <c r="E156" s="20" t="s">
        <v>24</v>
      </c>
      <c r="F156" s="20" t="s">
        <v>763</v>
      </c>
      <c r="G156" s="20" t="s">
        <v>764</v>
      </c>
      <c r="H156" s="20" t="s">
        <v>729</v>
      </c>
      <c r="I156" s="20" t="s">
        <v>730</v>
      </c>
      <c r="J156" s="20" t="s">
        <v>27</v>
      </c>
      <c r="K156" s="20" t="s">
        <v>28</v>
      </c>
      <c r="L156" s="20"/>
      <c r="M156" s="20"/>
      <c r="N156" s="21" t="s">
        <v>765</v>
      </c>
      <c r="O156" s="20" t="s">
        <v>21</v>
      </c>
      <c r="P156" s="20" t="s">
        <v>21</v>
      </c>
      <c r="Q156" s="20" t="s">
        <v>21</v>
      </c>
      <c r="R156" s="20"/>
      <c r="S156" s="20"/>
      <c r="T156" s="20"/>
    </row>
  </sheetData>
  <autoFilter ref="A1:T156"/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&amp;L&amp;BPlan de Limpieza – ACNUR&amp;B&amp;C&amp;RVersión: 2025-11-06</oddHeader>
    <oddFooter>&amp;L2025-11-06 18:54&amp;C&amp;P de &amp;N&amp;RACNUR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</v>
      </c>
      <c r="B1" s="1" t="s">
        <v>766</v>
      </c>
    </row>
    <row r="2">
      <c r="A2" s="56" t="s">
        <v>31</v>
      </c>
      <c r="B2" s="56" t="n">
        <v>122</v>
      </c>
    </row>
    <row r="3">
      <c r="A3" s="57" t="s">
        <v>23</v>
      </c>
      <c r="B3" s="57" t="n">
        <v>19</v>
      </c>
    </row>
    <row r="4">
      <c r="A4" s="56" t="s">
        <v>118</v>
      </c>
      <c r="B4" s="56" t="n">
        <v>14</v>
      </c>
    </row>
  </sheetData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&amp;L&amp;C&amp;RVersión: 2025-11-06</oddHeader>
    <oddFooter>&amp;L2025-11-06 18:54&amp;C&amp;P de &amp;N&amp;RACNUR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4.71" hidden="0" customWidth="1"/>
    <col min="3" max="3" width="10.71" hidden="0" customWidth="1"/>
  </cols>
  <sheetData>
    <row r="1">
      <c r="A1" s="1" t="s">
        <v>767</v>
      </c>
      <c r="B1" s="1" t="s">
        <v>768</v>
      </c>
      <c r="C1" s="1" t="s">
        <v>769</v>
      </c>
    </row>
    <row r="2">
      <c r="A2" s="56" t="s">
        <v>22</v>
      </c>
      <c r="B2" s="56" t="s">
        <v>770</v>
      </c>
      <c r="C2" s="56" t="s">
        <v>771</v>
      </c>
    </row>
    <row r="3">
      <c r="A3" s="57" t="s">
        <v>64</v>
      </c>
      <c r="B3" s="57" t="s">
        <v>772</v>
      </c>
      <c r="C3" s="57" t="s">
        <v>773</v>
      </c>
    </row>
    <row r="4">
      <c r="A4" s="56" t="s">
        <v>117</v>
      </c>
      <c r="B4" s="56" t="s">
        <v>774</v>
      </c>
      <c r="C4" s="56" t="s">
        <v>775</v>
      </c>
    </row>
    <row r="5">
      <c r="A5" s="57" t="s">
        <v>252</v>
      </c>
      <c r="B5" s="57" t="s">
        <v>776</v>
      </c>
      <c r="C5" s="57" t="s">
        <v>777</v>
      </c>
    </row>
    <row r="6">
      <c r="A6" s="56" t="s">
        <v>317</v>
      </c>
      <c r="B6" s="56" t="s">
        <v>778</v>
      </c>
      <c r="C6" s="56" t="s">
        <v>779</v>
      </c>
    </row>
    <row r="7">
      <c r="A7" s="57" t="s">
        <v>376</v>
      </c>
      <c r="B7" s="57" t="s">
        <v>780</v>
      </c>
      <c r="C7" s="57" t="s">
        <v>781</v>
      </c>
    </row>
    <row r="8">
      <c r="A8" s="56" t="s">
        <v>513</v>
      </c>
      <c r="B8" s="56" t="s">
        <v>782</v>
      </c>
      <c r="C8" s="56" t="s">
        <v>783</v>
      </c>
    </row>
    <row r="9">
      <c r="A9" s="57" t="s">
        <v>544</v>
      </c>
      <c r="B9" s="57" t="s">
        <v>784</v>
      </c>
      <c r="C9" s="57" t="s">
        <v>785</v>
      </c>
    </row>
    <row r="10">
      <c r="A10" s="56" t="s">
        <v>599</v>
      </c>
      <c r="B10" s="56" t="s">
        <v>786</v>
      </c>
      <c r="C10" s="56" t="s">
        <v>787</v>
      </c>
    </row>
    <row r="11">
      <c r="A11" s="57" t="s">
        <v>720</v>
      </c>
      <c r="B11" s="57" t="s">
        <v>788</v>
      </c>
      <c r="C11" s="57" t="s">
        <v>789</v>
      </c>
    </row>
  </sheetData>
  <autoFilter ref="A1:C11"/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&amp;L&amp;C&amp;RVersión: 2025-11-06</oddHeader>
    <oddFooter>&amp;L2025-11-06 18:54&amp;C&amp;P de &amp;N&amp;RACNUR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6.71" hidden="0" customWidth="1"/>
    <col min="3" max="3" width="25.71" hidden="0" customWidth="1"/>
    <col min="4" max="4" width="12.71" hidden="0" customWidth="1"/>
    <col min="5" max="5" width="10.71" hidden="0" customWidth="1"/>
    <col min="6" max="6" width="10.71" hidden="0" customWidth="1"/>
    <col min="7" max="7" width="40.71" hidden="0" customWidth="1"/>
    <col min="8" max="8" width="14.71" hidden="0" customWidth="1"/>
    <col min="9" max="9" width="10.71" hidden="0" customWidth="1"/>
    <col min="10" max="10" width="10.71" hidden="0" customWidth="1"/>
    <col min="11" max="11" width="22.71" hidden="0" customWidth="1"/>
  </cols>
  <sheetData>
    <row r="1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767</v>
      </c>
      <c r="F1" s="1" t="s">
        <v>794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799</v>
      </c>
    </row>
    <row r="2">
      <c r="A2" s="58" t="s">
        <v>22</v>
      </c>
      <c r="B2" s="58" t="s">
        <v>770</v>
      </c>
      <c r="C2" s="58" t="s">
        <v>800</v>
      </c>
      <c r="D2" s="58" t="s">
        <v>800</v>
      </c>
      <c r="E2" s="58" t="s">
        <v>22</v>
      </c>
      <c r="F2" s="58"/>
      <c r="G2" s="58" t="s">
        <v>801</v>
      </c>
      <c r="H2" s="58" t="s">
        <v>801</v>
      </c>
      <c r="I2" s="58" t="s">
        <v>801</v>
      </c>
      <c r="J2" s="58"/>
      <c r="K2" s="58" t="s">
        <v>801</v>
      </c>
    </row>
    <row r="3">
      <c r="A3" s="59" t="s">
        <v>27</v>
      </c>
      <c r="B3" s="59" t="s">
        <v>28</v>
      </c>
      <c r="C3" s="59" t="s">
        <v>802</v>
      </c>
      <c r="D3" s="59" t="s">
        <v>24</v>
      </c>
      <c r="E3" s="59" t="s">
        <v>22</v>
      </c>
      <c r="F3" s="59" t="s">
        <v>803</v>
      </c>
      <c r="G3" s="59" t="s">
        <v>801</v>
      </c>
      <c r="H3" s="59" t="s">
        <v>801</v>
      </c>
      <c r="I3" s="59" t="s">
        <v>801</v>
      </c>
      <c r="J3" s="59"/>
      <c r="K3" s="59" t="s">
        <v>801</v>
      </c>
    </row>
    <row r="4">
      <c r="A4" s="58" t="s">
        <v>56</v>
      </c>
      <c r="B4" s="58" t="s">
        <v>57</v>
      </c>
      <c r="C4" s="58" t="s">
        <v>53</v>
      </c>
      <c r="D4" s="58" t="s">
        <v>53</v>
      </c>
      <c r="E4" s="58" t="s">
        <v>22</v>
      </c>
      <c r="F4" s="58"/>
      <c r="G4" s="58" t="s">
        <v>804</v>
      </c>
      <c r="H4" s="58" t="s">
        <v>801</v>
      </c>
      <c r="I4" s="58" t="s">
        <v>801</v>
      </c>
      <c r="J4" s="58"/>
      <c r="K4" s="58" t="s">
        <v>801</v>
      </c>
    </row>
    <row r="5">
      <c r="A5" s="59" t="s">
        <v>805</v>
      </c>
      <c r="B5" s="59" t="s">
        <v>806</v>
      </c>
      <c r="C5" s="59" t="s">
        <v>807</v>
      </c>
      <c r="D5" s="59" t="s">
        <v>807</v>
      </c>
      <c r="E5" s="59" t="s">
        <v>22</v>
      </c>
      <c r="F5" s="59"/>
      <c r="G5" s="59" t="s">
        <v>804</v>
      </c>
      <c r="H5" s="59" t="s">
        <v>801</v>
      </c>
      <c r="I5" s="59" t="s">
        <v>801</v>
      </c>
      <c r="J5" s="59"/>
      <c r="K5" s="59" t="s">
        <v>801</v>
      </c>
    </row>
    <row r="6">
      <c r="A6" s="58" t="s">
        <v>35</v>
      </c>
      <c r="B6" s="58" t="s">
        <v>36</v>
      </c>
      <c r="C6" s="58" t="s">
        <v>32</v>
      </c>
      <c r="D6" s="58" t="s">
        <v>32</v>
      </c>
      <c r="E6" s="58" t="s">
        <v>22</v>
      </c>
      <c r="F6" s="58"/>
      <c r="G6" s="58" t="s">
        <v>804</v>
      </c>
      <c r="H6" s="58" t="s">
        <v>801</v>
      </c>
      <c r="I6" s="58" t="s">
        <v>801</v>
      </c>
      <c r="J6" s="58"/>
      <c r="K6" s="58" t="s">
        <v>801</v>
      </c>
    </row>
    <row r="7">
      <c r="A7" s="59" t="s">
        <v>45</v>
      </c>
      <c r="B7" s="59" t="s">
        <v>46</v>
      </c>
      <c r="C7" s="59" t="s">
        <v>808</v>
      </c>
      <c r="D7" s="59" t="s">
        <v>24</v>
      </c>
      <c r="E7" s="59" t="s">
        <v>22</v>
      </c>
      <c r="F7" s="59"/>
      <c r="G7" s="59" t="s">
        <v>804</v>
      </c>
      <c r="H7" s="59" t="s">
        <v>801</v>
      </c>
      <c r="I7" s="59" t="s">
        <v>801</v>
      </c>
      <c r="J7" s="59"/>
      <c r="K7" s="59" t="s">
        <v>801</v>
      </c>
    </row>
    <row r="8">
      <c r="A8" s="58" t="s">
        <v>809</v>
      </c>
      <c r="B8" s="58" t="s">
        <v>810</v>
      </c>
      <c r="C8" s="58" t="s">
        <v>811</v>
      </c>
      <c r="D8" s="58" t="s">
        <v>811</v>
      </c>
      <c r="E8" s="58" t="s">
        <v>22</v>
      </c>
      <c r="F8" s="58"/>
      <c r="G8" s="58" t="s">
        <v>804</v>
      </c>
      <c r="H8" s="58" t="s">
        <v>801</v>
      </c>
      <c r="I8" s="58" t="s">
        <v>801</v>
      </c>
      <c r="J8" s="58"/>
      <c r="K8" s="58" t="s">
        <v>801</v>
      </c>
    </row>
    <row r="9">
      <c r="A9" s="59" t="s">
        <v>812</v>
      </c>
      <c r="B9" s="59"/>
      <c r="C9" s="59" t="s">
        <v>813</v>
      </c>
      <c r="D9" s="59" t="s">
        <v>813</v>
      </c>
      <c r="E9" s="59" t="s">
        <v>801</v>
      </c>
      <c r="F9" s="59"/>
      <c r="G9" s="59" t="s">
        <v>801</v>
      </c>
      <c r="H9" s="59" t="s">
        <v>801</v>
      </c>
      <c r="I9" s="59" t="s">
        <v>801</v>
      </c>
      <c r="J9" s="59"/>
      <c r="K9" s="59" t="s">
        <v>801</v>
      </c>
    </row>
    <row r="10">
      <c r="A10" s="58" t="s">
        <v>64</v>
      </c>
      <c r="B10" s="58" t="s">
        <v>772</v>
      </c>
      <c r="C10" s="58" t="s">
        <v>800</v>
      </c>
      <c r="D10" s="58" t="s">
        <v>800</v>
      </c>
      <c r="E10" s="58" t="s">
        <v>64</v>
      </c>
      <c r="F10" s="58"/>
      <c r="G10" s="58" t="s">
        <v>804</v>
      </c>
      <c r="H10" s="58" t="s">
        <v>801</v>
      </c>
      <c r="I10" s="58" t="s">
        <v>801</v>
      </c>
      <c r="J10" s="58"/>
      <c r="K10" s="58" t="s">
        <v>801</v>
      </c>
    </row>
    <row r="11">
      <c r="A11" s="59" t="s">
        <v>67</v>
      </c>
      <c r="B11" s="59" t="s">
        <v>68</v>
      </c>
      <c r="C11" s="59" t="s">
        <v>814</v>
      </c>
      <c r="D11" s="59" t="s">
        <v>24</v>
      </c>
      <c r="E11" s="59" t="s">
        <v>64</v>
      </c>
      <c r="F11" s="59" t="s">
        <v>803</v>
      </c>
      <c r="G11" s="59" t="s">
        <v>804</v>
      </c>
      <c r="H11" s="59" t="s">
        <v>801</v>
      </c>
      <c r="I11" s="59" t="s">
        <v>801</v>
      </c>
      <c r="J11" s="59"/>
      <c r="K11" s="59" t="s">
        <v>801</v>
      </c>
    </row>
    <row r="12">
      <c r="A12" s="58" t="s">
        <v>85</v>
      </c>
      <c r="B12" s="58" t="s">
        <v>86</v>
      </c>
      <c r="C12" s="58" t="s">
        <v>815</v>
      </c>
      <c r="D12" s="58" t="s">
        <v>24</v>
      </c>
      <c r="E12" s="58" t="s">
        <v>64</v>
      </c>
      <c r="F12" s="58" t="s">
        <v>803</v>
      </c>
      <c r="G12" s="58" t="s">
        <v>804</v>
      </c>
      <c r="H12" s="58" t="s">
        <v>801</v>
      </c>
      <c r="I12" s="58" t="s">
        <v>801</v>
      </c>
      <c r="J12" s="58"/>
      <c r="K12" s="58" t="s">
        <v>816</v>
      </c>
    </row>
    <row r="13">
      <c r="A13" s="59" t="s">
        <v>79</v>
      </c>
      <c r="B13" s="59" t="s">
        <v>80</v>
      </c>
      <c r="C13" s="59" t="s">
        <v>817</v>
      </c>
      <c r="D13" s="59" t="s">
        <v>24</v>
      </c>
      <c r="E13" s="59" t="s">
        <v>64</v>
      </c>
      <c r="F13" s="59" t="s">
        <v>803</v>
      </c>
      <c r="G13" s="59" t="s">
        <v>804</v>
      </c>
      <c r="H13" s="59" t="s">
        <v>801</v>
      </c>
      <c r="I13" s="59" t="s">
        <v>801</v>
      </c>
      <c r="J13" s="59"/>
      <c r="K13" s="59" t="s">
        <v>818</v>
      </c>
    </row>
    <row r="14">
      <c r="A14" s="58" t="s">
        <v>73</v>
      </c>
      <c r="B14" s="58" t="s">
        <v>74</v>
      </c>
      <c r="C14" s="58" t="s">
        <v>819</v>
      </c>
      <c r="D14" s="58" t="s">
        <v>24</v>
      </c>
      <c r="E14" s="58" t="s">
        <v>64</v>
      </c>
      <c r="F14" s="58" t="s">
        <v>803</v>
      </c>
      <c r="G14" s="58" t="s">
        <v>804</v>
      </c>
      <c r="H14" s="58" t="s">
        <v>801</v>
      </c>
      <c r="I14" s="58" t="s">
        <v>801</v>
      </c>
      <c r="J14" s="58"/>
      <c r="K14" s="58" t="s">
        <v>820</v>
      </c>
    </row>
    <row r="15">
      <c r="A15" s="59" t="s">
        <v>821</v>
      </c>
      <c r="B15" s="59"/>
      <c r="C15" s="59" t="s">
        <v>813</v>
      </c>
      <c r="D15" s="59" t="s">
        <v>813</v>
      </c>
      <c r="E15" s="59" t="s">
        <v>801</v>
      </c>
      <c r="F15" s="59"/>
      <c r="G15" s="59" t="s">
        <v>801</v>
      </c>
      <c r="H15" s="59" t="s">
        <v>801</v>
      </c>
      <c r="I15" s="59" t="s">
        <v>801</v>
      </c>
      <c r="J15" s="59"/>
      <c r="K15" s="59" t="s">
        <v>801</v>
      </c>
    </row>
    <row r="16">
      <c r="A16" s="58" t="s">
        <v>117</v>
      </c>
      <c r="B16" s="58" t="s">
        <v>774</v>
      </c>
      <c r="C16" s="58" t="s">
        <v>800</v>
      </c>
      <c r="D16" s="58" t="s">
        <v>800</v>
      </c>
      <c r="E16" s="58" t="s">
        <v>117</v>
      </c>
      <c r="F16" s="58"/>
      <c r="G16" s="58" t="s">
        <v>804</v>
      </c>
      <c r="H16" s="58" t="s">
        <v>801</v>
      </c>
      <c r="I16" s="58" t="s">
        <v>801</v>
      </c>
      <c r="J16" s="58"/>
      <c r="K16" s="58" t="s">
        <v>801</v>
      </c>
    </row>
    <row r="17">
      <c r="A17" s="59" t="s">
        <v>128</v>
      </c>
      <c r="B17" s="59" t="s">
        <v>129</v>
      </c>
      <c r="C17" s="59" t="s">
        <v>119</v>
      </c>
      <c r="D17" s="59" t="s">
        <v>119</v>
      </c>
      <c r="E17" s="59" t="s">
        <v>117</v>
      </c>
      <c r="F17" s="59" t="s">
        <v>803</v>
      </c>
      <c r="G17" s="59" t="s">
        <v>804</v>
      </c>
      <c r="H17" s="59" t="s">
        <v>822</v>
      </c>
      <c r="I17" s="59" t="s">
        <v>801</v>
      </c>
      <c r="J17" s="59"/>
      <c r="K17" s="59" t="s">
        <v>801</v>
      </c>
    </row>
    <row r="18">
      <c r="A18" s="58" t="s">
        <v>166</v>
      </c>
      <c r="B18" s="58" t="s">
        <v>167</v>
      </c>
      <c r="C18" s="58" t="s">
        <v>823</v>
      </c>
      <c r="D18" s="58" t="s">
        <v>24</v>
      </c>
      <c r="E18" s="58" t="s">
        <v>117</v>
      </c>
      <c r="F18" s="58" t="s">
        <v>803</v>
      </c>
      <c r="G18" s="58" t="s">
        <v>804</v>
      </c>
      <c r="H18" s="58" t="s">
        <v>801</v>
      </c>
      <c r="I18" s="58" t="s">
        <v>801</v>
      </c>
      <c r="J18" s="58"/>
      <c r="K18" s="58" t="s">
        <v>801</v>
      </c>
    </row>
    <row r="19">
      <c r="A19" s="59" t="s">
        <v>122</v>
      </c>
      <c r="B19" s="59" t="s">
        <v>123</v>
      </c>
      <c r="C19" s="59" t="s">
        <v>119</v>
      </c>
      <c r="D19" s="59" t="s">
        <v>119</v>
      </c>
      <c r="E19" s="59" t="s">
        <v>117</v>
      </c>
      <c r="F19" s="59" t="s">
        <v>803</v>
      </c>
      <c r="G19" s="59" t="s">
        <v>804</v>
      </c>
      <c r="H19" s="59" t="s">
        <v>824</v>
      </c>
      <c r="I19" s="59" t="s">
        <v>801</v>
      </c>
      <c r="J19" s="59"/>
      <c r="K19" s="59" t="s">
        <v>801</v>
      </c>
    </row>
    <row r="20">
      <c r="A20" s="58" t="s">
        <v>160</v>
      </c>
      <c r="B20" s="58" t="s">
        <v>161</v>
      </c>
      <c r="C20" s="58" t="s">
        <v>825</v>
      </c>
      <c r="D20" s="58" t="s">
        <v>24</v>
      </c>
      <c r="E20" s="58" t="s">
        <v>117</v>
      </c>
      <c r="F20" s="58" t="s">
        <v>803</v>
      </c>
      <c r="G20" s="58" t="s">
        <v>804</v>
      </c>
      <c r="H20" s="58" t="s">
        <v>801</v>
      </c>
      <c r="I20" s="58" t="s">
        <v>801</v>
      </c>
      <c r="J20" s="58"/>
      <c r="K20" s="58" t="s">
        <v>801</v>
      </c>
    </row>
    <row r="21">
      <c r="A21" s="59" t="s">
        <v>154</v>
      </c>
      <c r="B21" s="59" t="s">
        <v>155</v>
      </c>
      <c r="C21" s="59" t="s">
        <v>826</v>
      </c>
      <c r="D21" s="59" t="s">
        <v>24</v>
      </c>
      <c r="E21" s="59" t="s">
        <v>117</v>
      </c>
      <c r="F21" s="59" t="s">
        <v>803</v>
      </c>
      <c r="G21" s="59" t="s">
        <v>804</v>
      </c>
      <c r="H21" s="59" t="s">
        <v>801</v>
      </c>
      <c r="I21" s="59" t="s">
        <v>801</v>
      </c>
      <c r="J21" s="59"/>
      <c r="K21" s="59" t="s">
        <v>801</v>
      </c>
    </row>
    <row r="22">
      <c r="A22" s="58" t="s">
        <v>185</v>
      </c>
      <c r="B22" s="58" t="s">
        <v>186</v>
      </c>
      <c r="C22" s="58" t="s">
        <v>827</v>
      </c>
      <c r="D22" s="58" t="s">
        <v>182</v>
      </c>
      <c r="E22" s="58" t="s">
        <v>117</v>
      </c>
      <c r="F22" s="58"/>
      <c r="G22" s="58" t="s">
        <v>804</v>
      </c>
      <c r="H22" s="58" t="s">
        <v>801</v>
      </c>
      <c r="I22" s="58" t="s">
        <v>801</v>
      </c>
      <c r="J22" s="58"/>
      <c r="K22" s="58" t="s">
        <v>801</v>
      </c>
    </row>
    <row r="23">
      <c r="A23" s="59" t="s">
        <v>136</v>
      </c>
      <c r="B23" s="59" t="s">
        <v>137</v>
      </c>
      <c r="C23" s="59" t="s">
        <v>802</v>
      </c>
      <c r="D23" s="59" t="s">
        <v>24</v>
      </c>
      <c r="E23" s="59" t="s">
        <v>117</v>
      </c>
      <c r="F23" s="59"/>
      <c r="G23" s="59" t="s">
        <v>804</v>
      </c>
      <c r="H23" s="59" t="s">
        <v>801</v>
      </c>
      <c r="I23" s="59" t="s">
        <v>801</v>
      </c>
      <c r="J23" s="59"/>
      <c r="K23" s="59" t="s">
        <v>801</v>
      </c>
    </row>
    <row r="24">
      <c r="A24" s="58" t="s">
        <v>134</v>
      </c>
      <c r="B24" s="58" t="s">
        <v>135</v>
      </c>
      <c r="C24" s="58" t="s">
        <v>119</v>
      </c>
      <c r="D24" s="58" t="s">
        <v>119</v>
      </c>
      <c r="E24" s="58" t="s">
        <v>117</v>
      </c>
      <c r="F24" s="58"/>
      <c r="G24" s="58" t="s">
        <v>828</v>
      </c>
      <c r="H24" s="58" t="s">
        <v>829</v>
      </c>
      <c r="I24" s="58" t="s">
        <v>801</v>
      </c>
      <c r="J24" s="58"/>
      <c r="K24" s="58" t="s">
        <v>801</v>
      </c>
    </row>
    <row r="25">
      <c r="A25" s="59" t="s">
        <v>144</v>
      </c>
      <c r="B25" s="59" t="s">
        <v>145</v>
      </c>
      <c r="C25" s="59" t="s">
        <v>802</v>
      </c>
      <c r="D25" s="59" t="s">
        <v>24</v>
      </c>
      <c r="E25" s="59" t="s">
        <v>117</v>
      </c>
      <c r="F25" s="59"/>
      <c r="G25" s="59" t="s">
        <v>804</v>
      </c>
      <c r="H25" s="59" t="s">
        <v>801</v>
      </c>
      <c r="I25" s="59" t="s">
        <v>801</v>
      </c>
      <c r="J25" s="59"/>
      <c r="K25" s="59" t="s">
        <v>801</v>
      </c>
    </row>
    <row r="26">
      <c r="A26" s="58" t="s">
        <v>142</v>
      </c>
      <c r="B26" s="58" t="s">
        <v>143</v>
      </c>
      <c r="C26" s="58" t="s">
        <v>119</v>
      </c>
      <c r="D26" s="58" t="s">
        <v>119</v>
      </c>
      <c r="E26" s="58" t="s">
        <v>117</v>
      </c>
      <c r="F26" s="58"/>
      <c r="G26" s="58" t="s">
        <v>830</v>
      </c>
      <c r="H26" s="58" t="s">
        <v>831</v>
      </c>
      <c r="I26" s="58" t="s">
        <v>801</v>
      </c>
      <c r="J26" s="58"/>
      <c r="K26" s="58" t="s">
        <v>801</v>
      </c>
    </row>
    <row r="27">
      <c r="A27" s="59" t="s">
        <v>832</v>
      </c>
      <c r="B27" s="59"/>
      <c r="C27" s="59" t="s">
        <v>813</v>
      </c>
      <c r="D27" s="59" t="s">
        <v>813</v>
      </c>
      <c r="E27" s="59" t="s">
        <v>801</v>
      </c>
      <c r="F27" s="59"/>
      <c r="G27" s="59" t="s">
        <v>801</v>
      </c>
      <c r="H27" s="59" t="s">
        <v>801</v>
      </c>
      <c r="I27" s="59" t="s">
        <v>801</v>
      </c>
      <c r="J27" s="59"/>
      <c r="K27" s="59" t="s">
        <v>801</v>
      </c>
    </row>
    <row r="28">
      <c r="A28" s="58" t="s">
        <v>252</v>
      </c>
      <c r="B28" s="58" t="s">
        <v>776</v>
      </c>
      <c r="C28" s="58" t="s">
        <v>800</v>
      </c>
      <c r="D28" s="58" t="s">
        <v>800</v>
      </c>
      <c r="E28" s="58" t="s">
        <v>252</v>
      </c>
      <c r="F28" s="58"/>
      <c r="G28" s="58" t="s">
        <v>804</v>
      </c>
      <c r="H28" s="58" t="s">
        <v>801</v>
      </c>
      <c r="I28" s="58" t="s">
        <v>801</v>
      </c>
      <c r="J28" s="58"/>
      <c r="K28" s="58" t="s">
        <v>801</v>
      </c>
    </row>
    <row r="29">
      <c r="A29" s="59" t="s">
        <v>257</v>
      </c>
      <c r="B29" s="59" t="s">
        <v>258</v>
      </c>
      <c r="C29" s="59" t="s">
        <v>802</v>
      </c>
      <c r="D29" s="59" t="s">
        <v>24</v>
      </c>
      <c r="E29" s="59" t="s">
        <v>252</v>
      </c>
      <c r="F29" s="59"/>
      <c r="G29" s="59" t="s">
        <v>804</v>
      </c>
      <c r="H29" s="59" t="s">
        <v>801</v>
      </c>
      <c r="I29" s="59" t="s">
        <v>801</v>
      </c>
      <c r="J29" s="59"/>
      <c r="K29" s="59" t="s">
        <v>801</v>
      </c>
    </row>
    <row r="30">
      <c r="A30" s="58" t="s">
        <v>255</v>
      </c>
      <c r="B30" s="58" t="s">
        <v>256</v>
      </c>
      <c r="C30" s="58" t="s">
        <v>119</v>
      </c>
      <c r="D30" s="58" t="s">
        <v>119</v>
      </c>
      <c r="E30" s="58" t="s">
        <v>252</v>
      </c>
      <c r="F30" s="58"/>
      <c r="G30" s="58" t="s">
        <v>833</v>
      </c>
      <c r="H30" s="58" t="s">
        <v>829</v>
      </c>
      <c r="I30" s="58" t="s">
        <v>801</v>
      </c>
      <c r="J30" s="58"/>
      <c r="K30" s="58" t="s">
        <v>801</v>
      </c>
    </row>
    <row r="31">
      <c r="A31" s="59" t="s">
        <v>263</v>
      </c>
      <c r="B31" s="59" t="s">
        <v>264</v>
      </c>
      <c r="C31" s="59" t="s">
        <v>802</v>
      </c>
      <c r="D31" s="59" t="s">
        <v>24</v>
      </c>
      <c r="E31" s="59" t="s">
        <v>252</v>
      </c>
      <c r="F31" s="59"/>
      <c r="G31" s="59" t="s">
        <v>833</v>
      </c>
      <c r="H31" s="59" t="s">
        <v>801</v>
      </c>
      <c r="I31" s="59" t="s">
        <v>801</v>
      </c>
      <c r="J31" s="59"/>
      <c r="K31" s="59" t="s">
        <v>801</v>
      </c>
    </row>
    <row r="32">
      <c r="A32" s="58" t="s">
        <v>309</v>
      </c>
      <c r="B32" s="58" t="s">
        <v>310</v>
      </c>
      <c r="C32" s="58" t="s">
        <v>834</v>
      </c>
      <c r="D32" s="58" t="s">
        <v>182</v>
      </c>
      <c r="E32" s="58" t="s">
        <v>252</v>
      </c>
      <c r="F32" s="58"/>
      <c r="G32" s="58" t="s">
        <v>835</v>
      </c>
      <c r="H32" s="58" t="s">
        <v>801</v>
      </c>
      <c r="I32" s="58" t="s">
        <v>801</v>
      </c>
      <c r="J32" s="58"/>
      <c r="K32" s="58" t="s">
        <v>801</v>
      </c>
    </row>
    <row r="33">
      <c r="A33" s="59" t="s">
        <v>283</v>
      </c>
      <c r="B33" s="59" t="s">
        <v>284</v>
      </c>
      <c r="C33" s="59" t="s">
        <v>802</v>
      </c>
      <c r="D33" s="59" t="s">
        <v>24</v>
      </c>
      <c r="E33" s="59" t="s">
        <v>252</v>
      </c>
      <c r="F33" s="59"/>
      <c r="G33" s="59" t="s">
        <v>833</v>
      </c>
      <c r="H33" s="59" t="s">
        <v>801</v>
      </c>
      <c r="I33" s="59" t="s">
        <v>801</v>
      </c>
      <c r="J33" s="59"/>
      <c r="K33" s="59" t="s">
        <v>801</v>
      </c>
    </row>
    <row r="34">
      <c r="A34" s="58" t="s">
        <v>281</v>
      </c>
      <c r="B34" s="58" t="s">
        <v>282</v>
      </c>
      <c r="C34" s="58" t="s">
        <v>53</v>
      </c>
      <c r="D34" s="58" t="s">
        <v>53</v>
      </c>
      <c r="E34" s="58" t="s">
        <v>252</v>
      </c>
      <c r="F34" s="58"/>
      <c r="G34" s="58" t="s">
        <v>836</v>
      </c>
      <c r="H34" s="58" t="s">
        <v>801</v>
      </c>
      <c r="I34" s="58" t="s">
        <v>801</v>
      </c>
      <c r="J34" s="58" t="s">
        <v>837</v>
      </c>
      <c r="K34" s="58" t="s">
        <v>801</v>
      </c>
    </row>
    <row r="35">
      <c r="A35" s="59" t="s">
        <v>838</v>
      </c>
      <c r="B35" s="59"/>
      <c r="C35" s="59" t="s">
        <v>813</v>
      </c>
      <c r="D35" s="59" t="s">
        <v>813</v>
      </c>
      <c r="E35" s="59" t="s">
        <v>801</v>
      </c>
      <c r="F35" s="59"/>
      <c r="G35" s="59" t="s">
        <v>801</v>
      </c>
      <c r="H35" s="59" t="s">
        <v>801</v>
      </c>
      <c r="I35" s="59" t="s">
        <v>801</v>
      </c>
      <c r="J35" s="59"/>
      <c r="K35" s="59" t="s">
        <v>801</v>
      </c>
    </row>
    <row r="36">
      <c r="A36" s="58" t="s">
        <v>317</v>
      </c>
      <c r="B36" s="58" t="s">
        <v>778</v>
      </c>
      <c r="C36" s="58" t="s">
        <v>800</v>
      </c>
      <c r="D36" s="58" t="s">
        <v>800</v>
      </c>
      <c r="E36" s="58" t="s">
        <v>317</v>
      </c>
      <c r="F36" s="58"/>
      <c r="G36" s="58" t="s">
        <v>839</v>
      </c>
      <c r="H36" s="58" t="s">
        <v>801</v>
      </c>
      <c r="I36" s="58" t="s">
        <v>801</v>
      </c>
      <c r="J36" s="58"/>
      <c r="K36" s="58" t="s">
        <v>801</v>
      </c>
    </row>
    <row r="37">
      <c r="A37" s="59" t="s">
        <v>327</v>
      </c>
      <c r="B37" s="59" t="s">
        <v>328</v>
      </c>
      <c r="C37" s="59" t="s">
        <v>840</v>
      </c>
      <c r="D37" s="59" t="s">
        <v>24</v>
      </c>
      <c r="E37" s="59" t="s">
        <v>317</v>
      </c>
      <c r="F37" s="59" t="s">
        <v>803</v>
      </c>
      <c r="G37" s="59" t="s">
        <v>804</v>
      </c>
      <c r="H37" s="59" t="s">
        <v>801</v>
      </c>
      <c r="I37" s="59" t="s">
        <v>801</v>
      </c>
      <c r="J37" s="59"/>
      <c r="K37" s="59" t="s">
        <v>801</v>
      </c>
    </row>
    <row r="38">
      <c r="A38" s="58" t="s">
        <v>358</v>
      </c>
      <c r="B38" s="58" t="s">
        <v>359</v>
      </c>
      <c r="C38" s="58" t="s">
        <v>841</v>
      </c>
      <c r="D38" s="58" t="s">
        <v>182</v>
      </c>
      <c r="E38" s="58" t="s">
        <v>317</v>
      </c>
      <c r="F38" s="58"/>
      <c r="G38" s="58" t="s">
        <v>804</v>
      </c>
      <c r="H38" s="58" t="s">
        <v>801</v>
      </c>
      <c r="I38" s="58" t="s">
        <v>801</v>
      </c>
      <c r="J38" s="58"/>
      <c r="K38" s="58" t="s">
        <v>801</v>
      </c>
    </row>
    <row r="39">
      <c r="A39" s="59" t="s">
        <v>321</v>
      </c>
      <c r="B39" s="59" t="s">
        <v>322</v>
      </c>
      <c r="C39" s="59" t="s">
        <v>318</v>
      </c>
      <c r="D39" s="59" t="s">
        <v>318</v>
      </c>
      <c r="E39" s="59" t="s">
        <v>317</v>
      </c>
      <c r="F39" s="59"/>
      <c r="G39" s="59" t="s">
        <v>804</v>
      </c>
      <c r="H39" s="59" t="s">
        <v>842</v>
      </c>
      <c r="I39" s="59" t="s">
        <v>801</v>
      </c>
      <c r="J39" s="59"/>
      <c r="K39" s="59" t="s">
        <v>801</v>
      </c>
    </row>
    <row r="40">
      <c r="A40" s="58" t="s">
        <v>348</v>
      </c>
      <c r="B40" s="58" t="s">
        <v>349</v>
      </c>
      <c r="C40" s="58" t="s">
        <v>802</v>
      </c>
      <c r="D40" s="58" t="s">
        <v>24</v>
      </c>
      <c r="E40" s="58" t="s">
        <v>317</v>
      </c>
      <c r="F40" s="58"/>
      <c r="G40" s="58" t="s">
        <v>804</v>
      </c>
      <c r="H40" s="58" t="s">
        <v>801</v>
      </c>
      <c r="I40" s="58" t="s">
        <v>801</v>
      </c>
      <c r="J40" s="58"/>
      <c r="K40" s="58" t="s">
        <v>801</v>
      </c>
    </row>
    <row r="41">
      <c r="A41" s="59" t="s">
        <v>368</v>
      </c>
      <c r="B41" s="59" t="s">
        <v>369</v>
      </c>
      <c r="C41" s="59" t="s">
        <v>843</v>
      </c>
      <c r="D41" s="59" t="s">
        <v>182</v>
      </c>
      <c r="E41" s="59" t="s">
        <v>317</v>
      </c>
      <c r="F41" s="59"/>
      <c r="G41" s="59" t="s">
        <v>844</v>
      </c>
      <c r="H41" s="59" t="s">
        <v>801</v>
      </c>
      <c r="I41" s="59" t="s">
        <v>801</v>
      </c>
      <c r="J41" s="59"/>
      <c r="K41" s="59" t="s">
        <v>801</v>
      </c>
    </row>
    <row r="42">
      <c r="A42" s="58" t="s">
        <v>845</v>
      </c>
      <c r="B42" s="58"/>
      <c r="C42" s="58" t="s">
        <v>813</v>
      </c>
      <c r="D42" s="58" t="s">
        <v>813</v>
      </c>
      <c r="E42" s="58" t="s">
        <v>801</v>
      </c>
      <c r="F42" s="58"/>
      <c r="G42" s="58" t="s">
        <v>801</v>
      </c>
      <c r="H42" s="58" t="s">
        <v>801</v>
      </c>
      <c r="I42" s="58" t="s">
        <v>801</v>
      </c>
      <c r="J42" s="58"/>
      <c r="K42" s="58" t="s">
        <v>801</v>
      </c>
    </row>
    <row r="43">
      <c r="A43" s="59" t="s">
        <v>376</v>
      </c>
      <c r="B43" s="59" t="s">
        <v>780</v>
      </c>
      <c r="C43" s="59" t="s">
        <v>800</v>
      </c>
      <c r="D43" s="59" t="s">
        <v>800</v>
      </c>
      <c r="E43" s="59" t="s">
        <v>376</v>
      </c>
      <c r="F43" s="59"/>
      <c r="G43" s="59" t="s">
        <v>804</v>
      </c>
      <c r="H43" s="59" t="s">
        <v>801</v>
      </c>
      <c r="I43" s="59" t="s">
        <v>801</v>
      </c>
      <c r="J43" s="59"/>
      <c r="K43" s="59" t="s">
        <v>801</v>
      </c>
    </row>
    <row r="44">
      <c r="A44" s="58" t="s">
        <v>397</v>
      </c>
      <c r="B44" s="58" t="s">
        <v>398</v>
      </c>
      <c r="C44" s="58" t="s">
        <v>846</v>
      </c>
      <c r="D44" s="58" t="s">
        <v>24</v>
      </c>
      <c r="E44" s="58" t="s">
        <v>376</v>
      </c>
      <c r="F44" s="58" t="s">
        <v>803</v>
      </c>
      <c r="G44" s="58" t="s">
        <v>804</v>
      </c>
      <c r="H44" s="58" t="s">
        <v>801</v>
      </c>
      <c r="I44" s="58" t="s">
        <v>801</v>
      </c>
      <c r="J44" s="58"/>
      <c r="K44" s="58" t="s">
        <v>801</v>
      </c>
    </row>
    <row r="45">
      <c r="A45" s="59" t="s">
        <v>415</v>
      </c>
      <c r="B45" s="59" t="s">
        <v>416</v>
      </c>
      <c r="C45" s="59" t="s">
        <v>847</v>
      </c>
      <c r="D45" s="59" t="s">
        <v>24</v>
      </c>
      <c r="E45" s="59" t="s">
        <v>376</v>
      </c>
      <c r="F45" s="59" t="s">
        <v>803</v>
      </c>
      <c r="G45" s="59" t="s">
        <v>804</v>
      </c>
      <c r="H45" s="59" t="s">
        <v>801</v>
      </c>
      <c r="I45" s="59" t="s">
        <v>801</v>
      </c>
      <c r="J45" s="59"/>
      <c r="K45" s="59" t="s">
        <v>801</v>
      </c>
    </row>
    <row r="46">
      <c r="A46" s="58" t="s">
        <v>421</v>
      </c>
      <c r="B46" s="58" t="s">
        <v>422</v>
      </c>
      <c r="C46" s="58" t="s">
        <v>848</v>
      </c>
      <c r="D46" s="58" t="s">
        <v>24</v>
      </c>
      <c r="E46" s="58" t="s">
        <v>376</v>
      </c>
      <c r="F46" s="58" t="s">
        <v>803</v>
      </c>
      <c r="G46" s="58" t="s">
        <v>804</v>
      </c>
      <c r="H46" s="58" t="s">
        <v>801</v>
      </c>
      <c r="I46" s="58" t="s">
        <v>801</v>
      </c>
      <c r="J46" s="58"/>
      <c r="K46" s="58" t="s">
        <v>801</v>
      </c>
    </row>
    <row r="47">
      <c r="A47" s="59" t="s">
        <v>409</v>
      </c>
      <c r="B47" s="59" t="s">
        <v>410</v>
      </c>
      <c r="C47" s="59" t="s">
        <v>849</v>
      </c>
      <c r="D47" s="59" t="s">
        <v>24</v>
      </c>
      <c r="E47" s="59" t="s">
        <v>376</v>
      </c>
      <c r="F47" s="59" t="s">
        <v>803</v>
      </c>
      <c r="G47" s="59" t="s">
        <v>804</v>
      </c>
      <c r="H47" s="59" t="s">
        <v>801</v>
      </c>
      <c r="I47" s="59" t="s">
        <v>801</v>
      </c>
      <c r="J47" s="59"/>
      <c r="K47" s="59" t="s">
        <v>801</v>
      </c>
    </row>
    <row r="48">
      <c r="A48" s="58" t="s">
        <v>403</v>
      </c>
      <c r="B48" s="58" t="s">
        <v>404</v>
      </c>
      <c r="C48" s="58" t="s">
        <v>850</v>
      </c>
      <c r="D48" s="58" t="s">
        <v>24</v>
      </c>
      <c r="E48" s="58" t="s">
        <v>376</v>
      </c>
      <c r="F48" s="58" t="s">
        <v>803</v>
      </c>
      <c r="G48" s="58" t="s">
        <v>804</v>
      </c>
      <c r="H48" s="58" t="s">
        <v>801</v>
      </c>
      <c r="I48" s="58" t="s">
        <v>801</v>
      </c>
      <c r="J48" s="58"/>
      <c r="K48" s="58" t="s">
        <v>801</v>
      </c>
    </row>
    <row r="49">
      <c r="A49" s="59" t="s">
        <v>391</v>
      </c>
      <c r="B49" s="59" t="s">
        <v>392</v>
      </c>
      <c r="C49" s="59" t="s">
        <v>851</v>
      </c>
      <c r="D49" s="59" t="s">
        <v>24</v>
      </c>
      <c r="E49" s="59" t="s">
        <v>376</v>
      </c>
      <c r="F49" s="59" t="s">
        <v>803</v>
      </c>
      <c r="G49" s="59" t="s">
        <v>804</v>
      </c>
      <c r="H49" s="59" t="s">
        <v>801</v>
      </c>
      <c r="I49" s="59" t="s">
        <v>801</v>
      </c>
      <c r="J49" s="59"/>
      <c r="K49" s="59" t="s">
        <v>801</v>
      </c>
    </row>
    <row r="50">
      <c r="A50" s="58" t="s">
        <v>484</v>
      </c>
      <c r="B50" s="58" t="s">
        <v>485</v>
      </c>
      <c r="C50" s="58" t="s">
        <v>802</v>
      </c>
      <c r="D50" s="58" t="s">
        <v>24</v>
      </c>
      <c r="E50" s="58" t="s">
        <v>376</v>
      </c>
      <c r="F50" s="58"/>
      <c r="G50" s="58" t="s">
        <v>804</v>
      </c>
      <c r="H50" s="58" t="s">
        <v>801</v>
      </c>
      <c r="I50" s="58" t="s">
        <v>801</v>
      </c>
      <c r="J50" s="58"/>
      <c r="K50" s="58" t="s">
        <v>801</v>
      </c>
    </row>
    <row r="51">
      <c r="A51" s="59" t="s">
        <v>385</v>
      </c>
      <c r="B51" s="59" t="s">
        <v>386</v>
      </c>
      <c r="C51" s="59" t="s">
        <v>119</v>
      </c>
      <c r="D51" s="59" t="s">
        <v>119</v>
      </c>
      <c r="E51" s="59" t="s">
        <v>376</v>
      </c>
      <c r="F51" s="59"/>
      <c r="G51" s="59" t="s">
        <v>804</v>
      </c>
      <c r="H51" s="59" t="s">
        <v>852</v>
      </c>
      <c r="I51" s="59" t="s">
        <v>801</v>
      </c>
      <c r="J51" s="59"/>
      <c r="K51" s="59" t="s">
        <v>801</v>
      </c>
    </row>
    <row r="52">
      <c r="A52" s="58" t="s">
        <v>379</v>
      </c>
      <c r="B52" s="58" t="s">
        <v>380</v>
      </c>
      <c r="C52" s="58" t="s">
        <v>119</v>
      </c>
      <c r="D52" s="58" t="s">
        <v>119</v>
      </c>
      <c r="E52" s="58" t="s">
        <v>376</v>
      </c>
      <c r="F52" s="58"/>
      <c r="G52" s="58" t="s">
        <v>804</v>
      </c>
      <c r="H52" s="58" t="s">
        <v>831</v>
      </c>
      <c r="I52" s="58" t="s">
        <v>801</v>
      </c>
      <c r="J52" s="58"/>
      <c r="K52" s="58" t="s">
        <v>801</v>
      </c>
    </row>
    <row r="53">
      <c r="A53" s="59" t="s">
        <v>456</v>
      </c>
      <c r="B53" s="59" t="s">
        <v>457</v>
      </c>
      <c r="C53" s="59" t="s">
        <v>802</v>
      </c>
      <c r="D53" s="59" t="s">
        <v>24</v>
      </c>
      <c r="E53" s="59" t="s">
        <v>376</v>
      </c>
      <c r="F53" s="59"/>
      <c r="G53" s="59" t="s">
        <v>853</v>
      </c>
      <c r="H53" s="59" t="s">
        <v>801</v>
      </c>
      <c r="I53" s="59" t="s">
        <v>801</v>
      </c>
      <c r="J53" s="59"/>
      <c r="K53" s="59" t="s">
        <v>801</v>
      </c>
    </row>
    <row r="54">
      <c r="A54" s="58" t="s">
        <v>466</v>
      </c>
      <c r="B54" s="58" t="s">
        <v>467</v>
      </c>
      <c r="C54" s="58" t="s">
        <v>53</v>
      </c>
      <c r="D54" s="58" t="s">
        <v>53</v>
      </c>
      <c r="E54" s="58" t="s">
        <v>376</v>
      </c>
      <c r="F54" s="58"/>
      <c r="G54" s="58" t="s">
        <v>854</v>
      </c>
      <c r="H54" s="58" t="s">
        <v>801</v>
      </c>
      <c r="I54" s="58" t="s">
        <v>801</v>
      </c>
      <c r="J54" s="58" t="s">
        <v>837</v>
      </c>
      <c r="K54" s="58" t="s">
        <v>801</v>
      </c>
    </row>
    <row r="55">
      <c r="A55" s="59" t="s">
        <v>855</v>
      </c>
      <c r="B55" s="59"/>
      <c r="C55" s="59" t="s">
        <v>813</v>
      </c>
      <c r="D55" s="59" t="s">
        <v>813</v>
      </c>
      <c r="E55" s="59" t="s">
        <v>801</v>
      </c>
      <c r="F55" s="59"/>
      <c r="G55" s="59" t="s">
        <v>801</v>
      </c>
      <c r="H55" s="59" t="s">
        <v>801</v>
      </c>
      <c r="I55" s="59" t="s">
        <v>801</v>
      </c>
      <c r="J55" s="59"/>
      <c r="K55" s="59" t="s">
        <v>801</v>
      </c>
    </row>
    <row r="56">
      <c r="A56" s="58" t="s">
        <v>513</v>
      </c>
      <c r="B56" s="58" t="s">
        <v>782</v>
      </c>
      <c r="C56" s="58" t="s">
        <v>800</v>
      </c>
      <c r="D56" s="58" t="s">
        <v>800</v>
      </c>
      <c r="E56" s="58" t="s">
        <v>513</v>
      </c>
      <c r="F56" s="58"/>
      <c r="G56" s="58" t="s">
        <v>804</v>
      </c>
      <c r="H56" s="58" t="s">
        <v>801</v>
      </c>
      <c r="I56" s="58" t="s">
        <v>801</v>
      </c>
      <c r="J56" s="58"/>
      <c r="K56" s="58" t="s">
        <v>801</v>
      </c>
    </row>
    <row r="57">
      <c r="A57" s="59" t="s">
        <v>516</v>
      </c>
      <c r="B57" s="59" t="s">
        <v>517</v>
      </c>
      <c r="C57" s="59" t="s">
        <v>802</v>
      </c>
      <c r="D57" s="59" t="s">
        <v>24</v>
      </c>
      <c r="E57" s="59" t="s">
        <v>513</v>
      </c>
      <c r="F57" s="59"/>
      <c r="G57" s="59" t="s">
        <v>804</v>
      </c>
      <c r="H57" s="59" t="s">
        <v>801</v>
      </c>
      <c r="I57" s="59" t="s">
        <v>801</v>
      </c>
      <c r="J57" s="59"/>
      <c r="K57" s="59" t="s">
        <v>801</v>
      </c>
    </row>
    <row r="58">
      <c r="A58" s="58" t="s">
        <v>536</v>
      </c>
      <c r="B58" s="58" t="s">
        <v>537</v>
      </c>
      <c r="C58" s="58" t="s">
        <v>856</v>
      </c>
      <c r="D58" s="58" t="s">
        <v>182</v>
      </c>
      <c r="E58" s="58" t="s">
        <v>513</v>
      </c>
      <c r="F58" s="58"/>
      <c r="G58" s="58" t="s">
        <v>804</v>
      </c>
      <c r="H58" s="58" t="s">
        <v>801</v>
      </c>
      <c r="I58" s="58" t="s">
        <v>801</v>
      </c>
      <c r="J58" s="58"/>
      <c r="K58" s="58" t="s">
        <v>801</v>
      </c>
    </row>
    <row r="59">
      <c r="A59" s="59" t="s">
        <v>526</v>
      </c>
      <c r="B59" s="59" t="s">
        <v>527</v>
      </c>
      <c r="C59" s="59" t="s">
        <v>802</v>
      </c>
      <c r="D59" s="59" t="s">
        <v>24</v>
      </c>
      <c r="E59" s="59" t="s">
        <v>513</v>
      </c>
      <c r="F59" s="59"/>
      <c r="G59" s="59" t="s">
        <v>857</v>
      </c>
      <c r="H59" s="59" t="s">
        <v>801</v>
      </c>
      <c r="I59" s="59" t="s">
        <v>801</v>
      </c>
      <c r="J59" s="59"/>
      <c r="K59" s="59" t="s">
        <v>801</v>
      </c>
    </row>
    <row r="60">
      <c r="A60" s="58" t="s">
        <v>858</v>
      </c>
      <c r="B60" s="58"/>
      <c r="C60" s="58" t="s">
        <v>813</v>
      </c>
      <c r="D60" s="58" t="s">
        <v>813</v>
      </c>
      <c r="E60" s="58" t="s">
        <v>801</v>
      </c>
      <c r="F60" s="58"/>
      <c r="G60" s="58" t="s">
        <v>801</v>
      </c>
      <c r="H60" s="58" t="s">
        <v>801</v>
      </c>
      <c r="I60" s="58" t="s">
        <v>801</v>
      </c>
      <c r="J60" s="58"/>
      <c r="K60" s="58" t="s">
        <v>801</v>
      </c>
    </row>
    <row r="61">
      <c r="A61" s="59" t="s">
        <v>544</v>
      </c>
      <c r="B61" s="59" t="s">
        <v>784</v>
      </c>
      <c r="C61" s="59" t="s">
        <v>800</v>
      </c>
      <c r="D61" s="59" t="s">
        <v>800</v>
      </c>
      <c r="E61" s="59" t="s">
        <v>544</v>
      </c>
      <c r="F61" s="59"/>
      <c r="G61" s="59" t="s">
        <v>804</v>
      </c>
      <c r="H61" s="59" t="s">
        <v>801</v>
      </c>
      <c r="I61" s="59" t="s">
        <v>801</v>
      </c>
      <c r="J61" s="59"/>
      <c r="K61" s="59" t="s">
        <v>801</v>
      </c>
    </row>
    <row r="62">
      <c r="A62" s="58" t="s">
        <v>549</v>
      </c>
      <c r="B62" s="58" t="s">
        <v>550</v>
      </c>
      <c r="C62" s="58" t="s">
        <v>859</v>
      </c>
      <c r="D62" s="58" t="s">
        <v>182</v>
      </c>
      <c r="E62" s="58" t="s">
        <v>544</v>
      </c>
      <c r="F62" s="58"/>
      <c r="G62" s="58" t="s">
        <v>804</v>
      </c>
      <c r="H62" s="58" t="s">
        <v>801</v>
      </c>
      <c r="I62" s="58" t="s">
        <v>801</v>
      </c>
      <c r="J62" s="58"/>
      <c r="K62" s="58" t="s">
        <v>801</v>
      </c>
    </row>
    <row r="63">
      <c r="A63" s="59" t="s">
        <v>547</v>
      </c>
      <c r="B63" s="59" t="s">
        <v>548</v>
      </c>
      <c r="C63" s="59" t="s">
        <v>318</v>
      </c>
      <c r="D63" s="59" t="s">
        <v>318</v>
      </c>
      <c r="E63" s="59" t="s">
        <v>544</v>
      </c>
      <c r="F63" s="59"/>
      <c r="G63" s="59" t="s">
        <v>860</v>
      </c>
      <c r="H63" s="59" t="s">
        <v>861</v>
      </c>
      <c r="I63" s="59" t="s">
        <v>801</v>
      </c>
      <c r="J63" s="59"/>
      <c r="K63" s="59" t="s">
        <v>801</v>
      </c>
    </row>
    <row r="64">
      <c r="A64" s="58" t="s">
        <v>573</v>
      </c>
      <c r="B64" s="58" t="s">
        <v>574</v>
      </c>
      <c r="C64" s="58" t="s">
        <v>802</v>
      </c>
      <c r="D64" s="58" t="s">
        <v>24</v>
      </c>
      <c r="E64" s="58" t="s">
        <v>544</v>
      </c>
      <c r="F64" s="58"/>
      <c r="G64" s="58" t="s">
        <v>804</v>
      </c>
      <c r="H64" s="58" t="s">
        <v>801</v>
      </c>
      <c r="I64" s="58" t="s">
        <v>801</v>
      </c>
      <c r="J64" s="58"/>
      <c r="K64" s="58" t="s">
        <v>801</v>
      </c>
    </row>
    <row r="65">
      <c r="A65" s="59" t="s">
        <v>591</v>
      </c>
      <c r="B65" s="59" t="s">
        <v>592</v>
      </c>
      <c r="C65" s="59" t="s">
        <v>862</v>
      </c>
      <c r="D65" s="59" t="s">
        <v>24</v>
      </c>
      <c r="E65" s="59" t="s">
        <v>544</v>
      </c>
      <c r="F65" s="59"/>
      <c r="G65" s="59" t="s">
        <v>863</v>
      </c>
      <c r="H65" s="59" t="s">
        <v>801</v>
      </c>
      <c r="I65" s="59" t="s">
        <v>801</v>
      </c>
      <c r="J65" s="59"/>
      <c r="K65" s="59" t="s">
        <v>801</v>
      </c>
    </row>
    <row r="66">
      <c r="A66" s="58" t="s">
        <v>571</v>
      </c>
      <c r="B66" s="58" t="s">
        <v>572</v>
      </c>
      <c r="C66" s="58" t="s">
        <v>53</v>
      </c>
      <c r="D66" s="58" t="s">
        <v>53</v>
      </c>
      <c r="E66" s="58" t="s">
        <v>544</v>
      </c>
      <c r="F66" s="58"/>
      <c r="G66" s="58" t="s">
        <v>863</v>
      </c>
      <c r="H66" s="58" t="s">
        <v>801</v>
      </c>
      <c r="I66" s="58" t="s">
        <v>801</v>
      </c>
      <c r="J66" s="58" t="s">
        <v>837</v>
      </c>
      <c r="K66" s="58" t="s">
        <v>801</v>
      </c>
    </row>
    <row r="67">
      <c r="A67" s="59" t="s">
        <v>864</v>
      </c>
      <c r="B67" s="59"/>
      <c r="C67" s="59" t="s">
        <v>813</v>
      </c>
      <c r="D67" s="59" t="s">
        <v>813</v>
      </c>
      <c r="E67" s="59" t="s">
        <v>801</v>
      </c>
      <c r="F67" s="59"/>
      <c r="G67" s="59" t="s">
        <v>801</v>
      </c>
      <c r="H67" s="59" t="s">
        <v>801</v>
      </c>
      <c r="I67" s="59" t="s">
        <v>801</v>
      </c>
      <c r="J67" s="59"/>
      <c r="K67" s="59" t="s">
        <v>801</v>
      </c>
    </row>
    <row r="68">
      <c r="A68" s="58" t="s">
        <v>599</v>
      </c>
      <c r="B68" s="58" t="s">
        <v>786</v>
      </c>
      <c r="C68" s="58" t="s">
        <v>800</v>
      </c>
      <c r="D68" s="58" t="s">
        <v>800</v>
      </c>
      <c r="E68" s="58" t="s">
        <v>599</v>
      </c>
      <c r="F68" s="58"/>
      <c r="G68" s="58" t="s">
        <v>804</v>
      </c>
      <c r="H68" s="58" t="s">
        <v>801</v>
      </c>
      <c r="I68" s="58" t="s">
        <v>801</v>
      </c>
      <c r="J68" s="58"/>
      <c r="K68" s="58" t="s">
        <v>801</v>
      </c>
    </row>
    <row r="69">
      <c r="A69" s="59" t="s">
        <v>632</v>
      </c>
      <c r="B69" s="59" t="s">
        <v>633</v>
      </c>
      <c r="C69" s="59" t="s">
        <v>865</v>
      </c>
      <c r="D69" s="59" t="s">
        <v>182</v>
      </c>
      <c r="E69" s="59" t="s">
        <v>599</v>
      </c>
      <c r="F69" s="59"/>
      <c r="G69" s="59" t="s">
        <v>804</v>
      </c>
      <c r="H69" s="59" t="s">
        <v>801</v>
      </c>
      <c r="I69" s="59" t="s">
        <v>801</v>
      </c>
      <c r="J69" s="59"/>
      <c r="K69" s="59" t="s">
        <v>801</v>
      </c>
    </row>
    <row r="70">
      <c r="A70" s="58" t="s">
        <v>658</v>
      </c>
      <c r="B70" s="58" t="s">
        <v>659</v>
      </c>
      <c r="C70" s="58" t="s">
        <v>802</v>
      </c>
      <c r="D70" s="58" t="s">
        <v>24</v>
      </c>
      <c r="E70" s="58" t="s">
        <v>599</v>
      </c>
      <c r="F70" s="58"/>
      <c r="G70" s="58" t="s">
        <v>804</v>
      </c>
      <c r="H70" s="58" t="s">
        <v>801</v>
      </c>
      <c r="I70" s="58" t="s">
        <v>801</v>
      </c>
      <c r="J70" s="58"/>
      <c r="K70" s="58" t="s">
        <v>801</v>
      </c>
    </row>
    <row r="71">
      <c r="A71" s="59" t="s">
        <v>712</v>
      </c>
      <c r="B71" s="59" t="s">
        <v>713</v>
      </c>
      <c r="C71" s="59" t="s">
        <v>866</v>
      </c>
      <c r="D71" s="59" t="s">
        <v>24</v>
      </c>
      <c r="E71" s="59" t="s">
        <v>599</v>
      </c>
      <c r="F71" s="59"/>
      <c r="G71" s="59" t="s">
        <v>867</v>
      </c>
      <c r="H71" s="59" t="s">
        <v>801</v>
      </c>
      <c r="I71" s="59" t="s">
        <v>801</v>
      </c>
      <c r="J71" s="59"/>
      <c r="K71" s="59" t="s">
        <v>801</v>
      </c>
    </row>
    <row r="72">
      <c r="A72" s="58" t="s">
        <v>676</v>
      </c>
      <c r="B72" s="58" t="s">
        <v>677</v>
      </c>
      <c r="C72" s="58" t="s">
        <v>868</v>
      </c>
      <c r="D72" s="58" t="s">
        <v>24</v>
      </c>
      <c r="E72" s="58" t="s">
        <v>599</v>
      </c>
      <c r="F72" s="58"/>
      <c r="G72" s="58" t="s">
        <v>804</v>
      </c>
      <c r="H72" s="58" t="s">
        <v>801</v>
      </c>
      <c r="I72" s="58" t="s">
        <v>801</v>
      </c>
      <c r="J72" s="58"/>
      <c r="K72" s="58" t="s">
        <v>801</v>
      </c>
    </row>
    <row r="73">
      <c r="A73" s="59" t="s">
        <v>686</v>
      </c>
      <c r="B73" s="59" t="s">
        <v>687</v>
      </c>
      <c r="C73" s="59" t="s">
        <v>53</v>
      </c>
      <c r="D73" s="59" t="s">
        <v>53</v>
      </c>
      <c r="E73" s="59" t="s">
        <v>599</v>
      </c>
      <c r="F73" s="59"/>
      <c r="G73" s="59" t="s">
        <v>869</v>
      </c>
      <c r="H73" s="59" t="s">
        <v>801</v>
      </c>
      <c r="I73" s="59" t="s">
        <v>801</v>
      </c>
      <c r="J73" s="59" t="s">
        <v>837</v>
      </c>
      <c r="K73" s="59" t="s">
        <v>801</v>
      </c>
    </row>
    <row r="74">
      <c r="A74" s="58" t="s">
        <v>608</v>
      </c>
      <c r="B74" s="58" t="s">
        <v>609</v>
      </c>
      <c r="C74" s="58" t="s">
        <v>119</v>
      </c>
      <c r="D74" s="58" t="s">
        <v>119</v>
      </c>
      <c r="E74" s="58" t="s">
        <v>599</v>
      </c>
      <c r="F74" s="58"/>
      <c r="G74" s="58" t="s">
        <v>804</v>
      </c>
      <c r="H74" s="58" t="s">
        <v>870</v>
      </c>
      <c r="I74" s="58" t="s">
        <v>801</v>
      </c>
      <c r="J74" s="58"/>
      <c r="K74" s="58" t="s">
        <v>801</v>
      </c>
    </row>
    <row r="75">
      <c r="A75" s="59" t="s">
        <v>620</v>
      </c>
      <c r="B75" s="59" t="s">
        <v>621</v>
      </c>
      <c r="C75" s="59" t="s">
        <v>119</v>
      </c>
      <c r="D75" s="59" t="s">
        <v>119</v>
      </c>
      <c r="E75" s="59" t="s">
        <v>599</v>
      </c>
      <c r="F75" s="59"/>
      <c r="G75" s="59" t="s">
        <v>871</v>
      </c>
      <c r="H75" s="59" t="s">
        <v>872</v>
      </c>
      <c r="I75" s="59" t="s">
        <v>801</v>
      </c>
      <c r="J75" s="59"/>
      <c r="K75" s="59" t="s">
        <v>801</v>
      </c>
    </row>
    <row r="76">
      <c r="A76" s="58" t="s">
        <v>614</v>
      </c>
      <c r="B76" s="58" t="s">
        <v>615</v>
      </c>
      <c r="C76" s="58" t="s">
        <v>119</v>
      </c>
      <c r="D76" s="58" t="s">
        <v>119</v>
      </c>
      <c r="E76" s="58" t="s">
        <v>599</v>
      </c>
      <c r="F76" s="58"/>
      <c r="G76" s="58" t="s">
        <v>804</v>
      </c>
      <c r="H76" s="58" t="s">
        <v>870</v>
      </c>
      <c r="I76" s="58" t="s">
        <v>801</v>
      </c>
      <c r="J76" s="58"/>
      <c r="K76" s="58" t="s">
        <v>801</v>
      </c>
    </row>
    <row r="77">
      <c r="A77" s="59" t="s">
        <v>602</v>
      </c>
      <c r="B77" s="59" t="s">
        <v>603</v>
      </c>
      <c r="C77" s="59" t="s">
        <v>119</v>
      </c>
      <c r="D77" s="59" t="s">
        <v>119</v>
      </c>
      <c r="E77" s="59" t="s">
        <v>599</v>
      </c>
      <c r="F77" s="59"/>
      <c r="G77" s="59" t="s">
        <v>833</v>
      </c>
      <c r="H77" s="59" t="s">
        <v>870</v>
      </c>
      <c r="I77" s="59" t="s">
        <v>801</v>
      </c>
      <c r="J77" s="59"/>
      <c r="K77" s="59" t="s">
        <v>801</v>
      </c>
    </row>
    <row r="78">
      <c r="A78" s="58" t="s">
        <v>626</v>
      </c>
      <c r="B78" s="58" t="s">
        <v>627</v>
      </c>
      <c r="C78" s="58" t="s">
        <v>119</v>
      </c>
      <c r="D78" s="58" t="s">
        <v>119</v>
      </c>
      <c r="E78" s="58" t="s">
        <v>599</v>
      </c>
      <c r="F78" s="58"/>
      <c r="G78" s="58" t="s">
        <v>804</v>
      </c>
      <c r="H78" s="58" t="s">
        <v>873</v>
      </c>
      <c r="I78" s="58" t="s">
        <v>801</v>
      </c>
      <c r="J78" s="58"/>
      <c r="K78" s="58" t="s">
        <v>801</v>
      </c>
    </row>
    <row r="79">
      <c r="A79" s="59" t="s">
        <v>874</v>
      </c>
      <c r="B79" s="59"/>
      <c r="C79" s="59" t="s">
        <v>813</v>
      </c>
      <c r="D79" s="59" t="s">
        <v>813</v>
      </c>
      <c r="E79" s="59" t="s">
        <v>801</v>
      </c>
      <c r="F79" s="59"/>
      <c r="G79" s="59" t="s">
        <v>801</v>
      </c>
      <c r="H79" s="59" t="s">
        <v>801</v>
      </c>
      <c r="I79" s="59" t="s">
        <v>801</v>
      </c>
      <c r="J79" s="59"/>
      <c r="K79" s="59" t="s">
        <v>801</v>
      </c>
    </row>
    <row r="80">
      <c r="A80" s="58" t="s">
        <v>720</v>
      </c>
      <c r="B80" s="58" t="s">
        <v>788</v>
      </c>
      <c r="C80" s="58" t="s">
        <v>800</v>
      </c>
      <c r="D80" s="58" t="s">
        <v>800</v>
      </c>
      <c r="E80" s="58" t="s">
        <v>720</v>
      </c>
      <c r="F80" s="58"/>
      <c r="G80" s="58" t="s">
        <v>804</v>
      </c>
      <c r="H80" s="58" t="s">
        <v>801</v>
      </c>
      <c r="I80" s="58" t="s">
        <v>801</v>
      </c>
      <c r="J80" s="58"/>
      <c r="K80" s="58" t="s">
        <v>801</v>
      </c>
    </row>
    <row r="81">
      <c r="A81" s="59" t="s">
        <v>729</v>
      </c>
      <c r="B81" s="59" t="s">
        <v>730</v>
      </c>
      <c r="C81" s="59" t="s">
        <v>875</v>
      </c>
      <c r="D81" s="59" t="s">
        <v>24</v>
      </c>
      <c r="E81" s="59" t="s">
        <v>720</v>
      </c>
      <c r="F81" s="59" t="s">
        <v>803</v>
      </c>
      <c r="G81" s="59" t="s">
        <v>804</v>
      </c>
      <c r="H81" s="59" t="s">
        <v>801</v>
      </c>
      <c r="I81" s="59" t="s">
        <v>801</v>
      </c>
      <c r="J81" s="59"/>
      <c r="K81" s="59" t="s">
        <v>801</v>
      </c>
    </row>
    <row r="82">
      <c r="A82" s="58" t="s">
        <v>723</v>
      </c>
      <c r="B82" s="58" t="s">
        <v>724</v>
      </c>
      <c r="C82" s="58" t="s">
        <v>875</v>
      </c>
      <c r="D82" s="58" t="s">
        <v>24</v>
      </c>
      <c r="E82" s="58" t="s">
        <v>720</v>
      </c>
      <c r="F82" s="58" t="s">
        <v>803</v>
      </c>
      <c r="G82" s="58" t="s">
        <v>804</v>
      </c>
      <c r="H82" s="58" t="s">
        <v>801</v>
      </c>
      <c r="I82" s="58" t="s">
        <v>801</v>
      </c>
      <c r="J82" s="58"/>
      <c r="K82" s="58" t="s">
        <v>801</v>
      </c>
    </row>
    <row r="83">
      <c r="A83" s="59" t="s">
        <v>745</v>
      </c>
      <c r="B83" s="59" t="s">
        <v>746</v>
      </c>
      <c r="C83" s="59" t="s">
        <v>876</v>
      </c>
      <c r="D83" s="59" t="s">
        <v>182</v>
      </c>
      <c r="E83" s="59" t="s">
        <v>720</v>
      </c>
      <c r="F83" s="59"/>
      <c r="G83" s="59" t="s">
        <v>804</v>
      </c>
      <c r="H83" s="59" t="s">
        <v>801</v>
      </c>
      <c r="I83" s="59" t="s">
        <v>801</v>
      </c>
      <c r="J83" s="59"/>
      <c r="K83" s="59" t="s">
        <v>801</v>
      </c>
    </row>
    <row r="84">
      <c r="A84" s="58" t="s">
        <v>735</v>
      </c>
      <c r="B84" s="58" t="s">
        <v>736</v>
      </c>
      <c r="C84" s="58" t="s">
        <v>53</v>
      </c>
      <c r="D84" s="58" t="s">
        <v>53</v>
      </c>
      <c r="E84" s="58" t="s">
        <v>720</v>
      </c>
      <c r="F84" s="58"/>
      <c r="G84" s="58" t="s">
        <v>804</v>
      </c>
      <c r="H84" s="58" t="s">
        <v>801</v>
      </c>
      <c r="I84" s="58" t="s">
        <v>801</v>
      </c>
      <c r="J84" s="58" t="s">
        <v>837</v>
      </c>
      <c r="K84" s="58" t="s">
        <v>801</v>
      </c>
    </row>
    <row r="85">
      <c r="A85" s="59" t="s">
        <v>877</v>
      </c>
      <c r="B85" s="59"/>
      <c r="C85" s="59" t="s">
        <v>813</v>
      </c>
      <c r="D85" s="59" t="s">
        <v>813</v>
      </c>
      <c r="E85" s="59" t="s">
        <v>801</v>
      </c>
      <c r="F85" s="59"/>
      <c r="G85" s="59" t="s">
        <v>801</v>
      </c>
      <c r="H85" s="59" t="s">
        <v>801</v>
      </c>
      <c r="I85" s="59" t="s">
        <v>801</v>
      </c>
      <c r="J85" s="59"/>
      <c r="K85" s="59" t="s">
        <v>801</v>
      </c>
    </row>
  </sheetData>
  <autoFilter ref="A1:K85"/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&amp;L&amp;C&amp;RVersión: 2025-11-06</oddHeader>
    <oddFooter>&amp;L2025-11-06 18:54&amp;C&amp;P de &amp;N&amp;RACNUR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21.71" hidden="0" customWidth="1"/>
  </cols>
  <sheetData>
    <row r="1">
      <c r="A1" s="1" t="s">
        <v>878</v>
      </c>
      <c r="B1" s="1" t="s">
        <v>790</v>
      </c>
      <c r="C1" s="1" t="s">
        <v>791</v>
      </c>
    </row>
    <row r="2">
      <c r="A2" s="56" t="s">
        <v>879</v>
      </c>
      <c r="B2" s="56" t="s">
        <v>880</v>
      </c>
      <c r="C2" s="56" t="s">
        <v>881</v>
      </c>
    </row>
    <row r="3">
      <c r="A3" s="57" t="s">
        <v>879</v>
      </c>
      <c r="B3" s="57" t="s">
        <v>882</v>
      </c>
      <c r="C3" s="57" t="s">
        <v>883</v>
      </c>
    </row>
    <row r="4">
      <c r="A4" s="56" t="s">
        <v>884</v>
      </c>
      <c r="B4" s="56" t="s">
        <v>885</v>
      </c>
      <c r="C4" s="56" t="s">
        <v>886</v>
      </c>
    </row>
    <row r="5">
      <c r="A5" s="57" t="s">
        <v>884</v>
      </c>
      <c r="B5" s="57" t="s">
        <v>887</v>
      </c>
      <c r="C5" s="57" t="s">
        <v>888</v>
      </c>
    </row>
    <row r="6">
      <c r="A6" s="56" t="s">
        <v>884</v>
      </c>
      <c r="B6" s="56" t="s">
        <v>889</v>
      </c>
      <c r="C6" s="56" t="s">
        <v>890</v>
      </c>
    </row>
    <row r="7">
      <c r="A7" s="57" t="s">
        <v>884</v>
      </c>
      <c r="B7" s="57" t="s">
        <v>891</v>
      </c>
      <c r="C7" s="57" t="s">
        <v>892</v>
      </c>
    </row>
    <row r="8">
      <c r="A8" s="56" t="s">
        <v>893</v>
      </c>
      <c r="B8" s="56" t="s">
        <v>894</v>
      </c>
      <c r="C8" s="56" t="s">
        <v>895</v>
      </c>
    </row>
    <row r="9">
      <c r="A9" s="57" t="s">
        <v>893</v>
      </c>
      <c r="B9" s="57" t="s">
        <v>896</v>
      </c>
      <c r="C9" s="57" t="s">
        <v>897</v>
      </c>
    </row>
    <row r="10">
      <c r="A10" s="56" t="s">
        <v>893</v>
      </c>
      <c r="B10" s="56" t="s">
        <v>898</v>
      </c>
      <c r="C10" s="56" t="s">
        <v>892</v>
      </c>
    </row>
    <row r="11">
      <c r="A11" s="57" t="s">
        <v>899</v>
      </c>
      <c r="B11" s="57" t="s">
        <v>900</v>
      </c>
      <c r="C11" s="57" t="s">
        <v>901</v>
      </c>
    </row>
    <row r="12">
      <c r="A12" s="56" t="s">
        <v>899</v>
      </c>
      <c r="B12" s="56" t="s">
        <v>902</v>
      </c>
      <c r="C12" s="56" t="s">
        <v>903</v>
      </c>
    </row>
    <row r="13">
      <c r="A13" s="57" t="s">
        <v>899</v>
      </c>
      <c r="B13" s="57" t="s">
        <v>904</v>
      </c>
      <c r="C13" s="57" t="s">
        <v>905</v>
      </c>
    </row>
    <row r="14">
      <c r="A14" s="56" t="s">
        <v>899</v>
      </c>
      <c r="B14" s="56" t="s">
        <v>906</v>
      </c>
      <c r="C14" s="56" t="s">
        <v>907</v>
      </c>
    </row>
    <row r="15">
      <c r="A15" s="57" t="s">
        <v>899</v>
      </c>
      <c r="B15" s="57" t="s">
        <v>908</v>
      </c>
      <c r="C15" s="57" t="s">
        <v>909</v>
      </c>
    </row>
    <row r="16">
      <c r="A16" s="56" t="s">
        <v>910</v>
      </c>
      <c r="B16" s="56" t="s">
        <v>911</v>
      </c>
      <c r="C16" s="56" t="s">
        <v>912</v>
      </c>
    </row>
    <row r="17">
      <c r="A17" s="57" t="s">
        <v>910</v>
      </c>
      <c r="B17" s="57" t="s">
        <v>913</v>
      </c>
      <c r="C17" s="57" t="s">
        <v>914</v>
      </c>
    </row>
    <row r="18">
      <c r="A18" s="56" t="s">
        <v>910</v>
      </c>
      <c r="B18" s="56" t="s">
        <v>915</v>
      </c>
      <c r="C18" s="56" t="s">
        <v>916</v>
      </c>
    </row>
    <row r="19">
      <c r="A19" s="57" t="s">
        <v>910</v>
      </c>
      <c r="B19" s="57" t="s">
        <v>917</v>
      </c>
      <c r="C19" s="57" t="s">
        <v>918</v>
      </c>
    </row>
    <row r="20">
      <c r="A20" s="56" t="s">
        <v>910</v>
      </c>
      <c r="B20" s="56" t="s">
        <v>919</v>
      </c>
      <c r="C20" s="56" t="s">
        <v>920</v>
      </c>
    </row>
    <row r="21">
      <c r="A21" s="57" t="s">
        <v>921</v>
      </c>
      <c r="B21" s="57" t="s">
        <v>922</v>
      </c>
      <c r="C21" s="57" t="s">
        <v>923</v>
      </c>
    </row>
    <row r="22">
      <c r="A22" s="56" t="s">
        <v>921</v>
      </c>
      <c r="B22" s="56" t="s">
        <v>924</v>
      </c>
      <c r="C22" s="56" t="s">
        <v>925</v>
      </c>
    </row>
    <row r="23">
      <c r="A23" s="57" t="s">
        <v>921</v>
      </c>
      <c r="B23" s="57" t="s">
        <v>926</v>
      </c>
      <c r="C23" s="57" t="s">
        <v>927</v>
      </c>
    </row>
    <row r="24">
      <c r="A24" s="56" t="s">
        <v>921</v>
      </c>
      <c r="B24" s="56" t="s">
        <v>928</v>
      </c>
      <c r="C24" s="56" t="s">
        <v>929</v>
      </c>
    </row>
    <row r="25">
      <c r="A25" s="57" t="s">
        <v>921</v>
      </c>
      <c r="B25" s="57" t="s">
        <v>930</v>
      </c>
      <c r="C25" s="57" t="s">
        <v>931</v>
      </c>
    </row>
    <row r="26">
      <c r="A26" s="56" t="s">
        <v>932</v>
      </c>
      <c r="B26" s="56" t="s">
        <v>933</v>
      </c>
      <c r="C26" s="56" t="s">
        <v>934</v>
      </c>
    </row>
    <row r="27">
      <c r="A27" s="57" t="s">
        <v>932</v>
      </c>
      <c r="B27" s="57" t="s">
        <v>935</v>
      </c>
      <c r="C27" s="57" t="s">
        <v>936</v>
      </c>
    </row>
    <row r="28">
      <c r="A28" s="56" t="s">
        <v>932</v>
      </c>
      <c r="B28" s="56" t="s">
        <v>937</v>
      </c>
      <c r="C28" s="56" t="s">
        <v>938</v>
      </c>
    </row>
    <row r="29">
      <c r="A29" s="57" t="s">
        <v>932</v>
      </c>
      <c r="B29" s="57" t="s">
        <v>921</v>
      </c>
      <c r="C29" s="57" t="s">
        <v>939</v>
      </c>
    </row>
    <row r="30">
      <c r="A30" s="56" t="s">
        <v>932</v>
      </c>
      <c r="B30" s="56" t="s">
        <v>898</v>
      </c>
      <c r="C30" s="56" t="s">
        <v>892</v>
      </c>
    </row>
    <row r="31">
      <c r="A31" s="57" t="s">
        <v>940</v>
      </c>
      <c r="B31" s="57" t="s">
        <v>941</v>
      </c>
      <c r="C31" s="57" t="s">
        <v>942</v>
      </c>
    </row>
    <row r="32">
      <c r="A32" s="56" t="s">
        <v>940</v>
      </c>
      <c r="B32" s="56" t="s">
        <v>943</v>
      </c>
      <c r="C32" s="56" t="s">
        <v>944</v>
      </c>
    </row>
    <row r="33">
      <c r="A33" s="57" t="s">
        <v>940</v>
      </c>
      <c r="B33" s="57" t="s">
        <v>945</v>
      </c>
      <c r="C33" s="57" t="s">
        <v>946</v>
      </c>
    </row>
    <row r="34">
      <c r="A34" s="56" t="s">
        <v>940</v>
      </c>
      <c r="B34" s="56" t="s">
        <v>947</v>
      </c>
      <c r="C34" s="56" t="s">
        <v>948</v>
      </c>
    </row>
    <row r="35">
      <c r="A35" s="57" t="s">
        <v>940</v>
      </c>
      <c r="B35" s="57" t="s">
        <v>949</v>
      </c>
      <c r="C35" s="57" t="s">
        <v>950</v>
      </c>
    </row>
    <row r="36">
      <c r="A36" s="56" t="s">
        <v>358</v>
      </c>
      <c r="B36" s="56" t="s">
        <v>951</v>
      </c>
      <c r="C36" s="56" t="s">
        <v>952</v>
      </c>
    </row>
    <row r="37">
      <c r="A37" s="57" t="s">
        <v>358</v>
      </c>
      <c r="B37" s="57" t="s">
        <v>953</v>
      </c>
      <c r="C37" s="57" t="s">
        <v>954</v>
      </c>
    </row>
    <row r="38">
      <c r="A38" s="56" t="s">
        <v>358</v>
      </c>
      <c r="B38" s="56" t="s">
        <v>955</v>
      </c>
      <c r="C38" s="56" t="s">
        <v>956</v>
      </c>
    </row>
    <row r="39">
      <c r="A39" s="57" t="s">
        <v>358</v>
      </c>
      <c r="B39" s="57" t="s">
        <v>957</v>
      </c>
      <c r="C39" s="57" t="s">
        <v>958</v>
      </c>
    </row>
    <row r="40">
      <c r="A40" s="56" t="s">
        <v>358</v>
      </c>
      <c r="B40" s="56" t="s">
        <v>959</v>
      </c>
      <c r="C40" s="56" t="s">
        <v>960</v>
      </c>
    </row>
    <row r="41">
      <c r="A41" s="57" t="s">
        <v>358</v>
      </c>
      <c r="B41" s="57" t="s">
        <v>961</v>
      </c>
      <c r="C41" s="57" t="s">
        <v>962</v>
      </c>
    </row>
    <row r="42">
      <c r="A42" s="56" t="s">
        <v>397</v>
      </c>
      <c r="B42" s="56" t="s">
        <v>963</v>
      </c>
      <c r="C42" s="56" t="s">
        <v>964</v>
      </c>
    </row>
    <row r="43">
      <c r="A43" s="57" t="s">
        <v>397</v>
      </c>
      <c r="B43" s="57" t="s">
        <v>965</v>
      </c>
      <c r="C43" s="57" t="s">
        <v>966</v>
      </c>
    </row>
    <row r="44">
      <c r="A44" s="56" t="s">
        <v>397</v>
      </c>
      <c r="B44" s="56" t="s">
        <v>967</v>
      </c>
      <c r="C44" s="56" t="s">
        <v>968</v>
      </c>
    </row>
    <row r="45">
      <c r="A45" s="57" t="s">
        <v>397</v>
      </c>
      <c r="B45" s="57" t="s">
        <v>969</v>
      </c>
      <c r="C45" s="57" t="s">
        <v>970</v>
      </c>
    </row>
    <row r="46">
      <c r="A46" s="56" t="s">
        <v>415</v>
      </c>
      <c r="B46" s="56" t="s">
        <v>971</v>
      </c>
      <c r="C46" s="56" t="s">
        <v>972</v>
      </c>
    </row>
    <row r="47">
      <c r="A47" s="57" t="s">
        <v>415</v>
      </c>
      <c r="B47" s="57" t="s">
        <v>973</v>
      </c>
      <c r="C47" s="57" t="s">
        <v>974</v>
      </c>
    </row>
    <row r="48">
      <c r="A48" s="56" t="s">
        <v>415</v>
      </c>
      <c r="B48" s="56" t="s">
        <v>975</v>
      </c>
      <c r="C48" s="56" t="s">
        <v>976</v>
      </c>
    </row>
    <row r="49">
      <c r="A49" s="57" t="s">
        <v>415</v>
      </c>
      <c r="B49" s="57" t="s">
        <v>977</v>
      </c>
      <c r="C49" s="57" t="s">
        <v>978</v>
      </c>
    </row>
    <row r="50">
      <c r="A50" s="56" t="s">
        <v>421</v>
      </c>
      <c r="B50" s="56" t="s">
        <v>979</v>
      </c>
      <c r="C50" s="56" t="s">
        <v>980</v>
      </c>
    </row>
    <row r="51">
      <c r="A51" s="57" t="s">
        <v>421</v>
      </c>
      <c r="B51" s="57" t="s">
        <v>981</v>
      </c>
      <c r="C51" s="57" t="s">
        <v>982</v>
      </c>
    </row>
    <row r="52">
      <c r="A52" s="56" t="s">
        <v>421</v>
      </c>
      <c r="B52" s="56" t="s">
        <v>983</v>
      </c>
      <c r="C52" s="56" t="s">
        <v>984</v>
      </c>
    </row>
    <row r="53">
      <c r="A53" s="57" t="s">
        <v>421</v>
      </c>
      <c r="B53" s="57" t="s">
        <v>985</v>
      </c>
      <c r="C53" s="57" t="s">
        <v>986</v>
      </c>
    </row>
    <row r="54">
      <c r="A54" s="56" t="s">
        <v>409</v>
      </c>
      <c r="B54" s="56" t="s">
        <v>987</v>
      </c>
      <c r="C54" s="56" t="s">
        <v>988</v>
      </c>
    </row>
    <row r="55">
      <c r="A55" s="57" t="s">
        <v>409</v>
      </c>
      <c r="B55" s="57" t="s">
        <v>989</v>
      </c>
      <c r="C55" s="57" t="s">
        <v>990</v>
      </c>
    </row>
    <row r="56">
      <c r="A56" s="56" t="s">
        <v>409</v>
      </c>
      <c r="B56" s="56" t="s">
        <v>991</v>
      </c>
      <c r="C56" s="56" t="s">
        <v>992</v>
      </c>
    </row>
    <row r="57">
      <c r="A57" s="57" t="s">
        <v>409</v>
      </c>
      <c r="B57" s="57" t="s">
        <v>911</v>
      </c>
      <c r="C57" s="57" t="s">
        <v>993</v>
      </c>
    </row>
    <row r="58">
      <c r="A58" s="56" t="s">
        <v>403</v>
      </c>
      <c r="B58" s="56" t="s">
        <v>994</v>
      </c>
      <c r="C58" s="56" t="s">
        <v>995</v>
      </c>
    </row>
    <row r="59">
      <c r="A59" s="57" t="s">
        <v>403</v>
      </c>
      <c r="B59" s="57" t="s">
        <v>996</v>
      </c>
      <c r="C59" s="57" t="s">
        <v>997</v>
      </c>
    </row>
    <row r="60">
      <c r="A60" s="56" t="s">
        <v>403</v>
      </c>
      <c r="B60" s="56" t="s">
        <v>998</v>
      </c>
      <c r="C60" s="56" t="s">
        <v>999</v>
      </c>
    </row>
    <row r="61">
      <c r="A61" s="57" t="s">
        <v>403</v>
      </c>
      <c r="B61" s="57" t="s">
        <v>911</v>
      </c>
      <c r="C61" s="57" t="s">
        <v>993</v>
      </c>
    </row>
    <row r="62">
      <c r="A62" s="56" t="s">
        <v>391</v>
      </c>
      <c r="B62" s="56" t="s">
        <v>1000</v>
      </c>
      <c r="C62" s="56" t="s">
        <v>1001</v>
      </c>
    </row>
    <row r="63">
      <c r="A63" s="57" t="s">
        <v>391</v>
      </c>
      <c r="B63" s="57" t="s">
        <v>1002</v>
      </c>
      <c r="C63" s="57" t="s">
        <v>1003</v>
      </c>
    </row>
    <row r="64">
      <c r="A64" s="56" t="s">
        <v>391</v>
      </c>
      <c r="B64" s="56" t="s">
        <v>1004</v>
      </c>
      <c r="C64" s="56" t="s">
        <v>1005</v>
      </c>
    </row>
    <row r="65">
      <c r="A65" s="57" t="s">
        <v>391</v>
      </c>
      <c r="B65" s="57" t="s">
        <v>1006</v>
      </c>
      <c r="C65" s="57" t="s">
        <v>1007</v>
      </c>
    </row>
    <row r="66">
      <c r="A66" s="56" t="s">
        <v>1008</v>
      </c>
      <c r="B66" s="56" t="s">
        <v>1009</v>
      </c>
      <c r="C66" s="56" t="s">
        <v>1010</v>
      </c>
    </row>
    <row r="67">
      <c r="A67" s="57" t="s">
        <v>1008</v>
      </c>
      <c r="B67" s="57" t="s">
        <v>1011</v>
      </c>
      <c r="C67" s="57" t="s">
        <v>1012</v>
      </c>
    </row>
    <row r="68">
      <c r="A68" s="56" t="s">
        <v>1008</v>
      </c>
      <c r="B68" s="56" t="s">
        <v>1013</v>
      </c>
      <c r="C68" s="56" t="s">
        <v>1014</v>
      </c>
    </row>
    <row r="69">
      <c r="A69" s="57" t="s">
        <v>1008</v>
      </c>
      <c r="B69" s="57" t="s">
        <v>1015</v>
      </c>
      <c r="C69" s="57" t="s">
        <v>1016</v>
      </c>
    </row>
    <row r="70">
      <c r="A70" s="56" t="s">
        <v>1008</v>
      </c>
      <c r="B70" s="56" t="s">
        <v>911</v>
      </c>
      <c r="C70" s="56" t="s">
        <v>993</v>
      </c>
    </row>
    <row r="71">
      <c r="A71" s="57" t="s">
        <v>1017</v>
      </c>
      <c r="B71" s="57" t="s">
        <v>1018</v>
      </c>
      <c r="C71" s="57" t="s">
        <v>1019</v>
      </c>
    </row>
    <row r="72">
      <c r="A72" s="56" t="s">
        <v>1017</v>
      </c>
      <c r="B72" s="56" t="s">
        <v>1020</v>
      </c>
      <c r="C72" s="56" t="s">
        <v>1021</v>
      </c>
    </row>
    <row r="73">
      <c r="A73" s="57" t="s">
        <v>1017</v>
      </c>
      <c r="B73" s="57" t="s">
        <v>1022</v>
      </c>
      <c r="C73" s="57" t="s">
        <v>1023</v>
      </c>
    </row>
    <row r="74">
      <c r="A74" s="56" t="s">
        <v>1017</v>
      </c>
      <c r="B74" s="56" t="s">
        <v>1024</v>
      </c>
      <c r="C74" s="56" t="s">
        <v>782</v>
      </c>
    </row>
    <row r="75">
      <c r="A75" s="57" t="s">
        <v>1017</v>
      </c>
      <c r="B75" s="57" t="s">
        <v>1025</v>
      </c>
      <c r="C75" s="57" t="s">
        <v>776</v>
      </c>
    </row>
    <row r="76">
      <c r="A76" s="56" t="s">
        <v>591</v>
      </c>
      <c r="B76" s="56" t="s">
        <v>1026</v>
      </c>
      <c r="C76" s="56" t="s">
        <v>1027</v>
      </c>
    </row>
    <row r="77">
      <c r="A77" s="57" t="s">
        <v>591</v>
      </c>
      <c r="B77" s="57" t="s">
        <v>1028</v>
      </c>
      <c r="C77" s="57" t="s">
        <v>1029</v>
      </c>
    </row>
    <row r="78">
      <c r="A78" s="56" t="s">
        <v>591</v>
      </c>
      <c r="B78" s="56" t="s">
        <v>1030</v>
      </c>
      <c r="C78" s="56" t="s">
        <v>1031</v>
      </c>
    </row>
    <row r="79">
      <c r="A79" s="57" t="s">
        <v>591</v>
      </c>
      <c r="B79" s="57" t="s">
        <v>1032</v>
      </c>
      <c r="C79" s="57" t="s">
        <v>1033</v>
      </c>
    </row>
    <row r="80">
      <c r="A80" s="56" t="s">
        <v>591</v>
      </c>
      <c r="B80" s="56" t="s">
        <v>898</v>
      </c>
      <c r="C80" s="56" t="s">
        <v>892</v>
      </c>
    </row>
    <row r="81">
      <c r="A81" s="57" t="s">
        <v>632</v>
      </c>
      <c r="B81" s="57" t="s">
        <v>1034</v>
      </c>
      <c r="C81" s="57" t="s">
        <v>1035</v>
      </c>
    </row>
    <row r="82">
      <c r="A82" s="56" t="s">
        <v>632</v>
      </c>
      <c r="B82" s="56" t="s">
        <v>1036</v>
      </c>
      <c r="C82" s="56" t="s">
        <v>1037</v>
      </c>
    </row>
    <row r="83">
      <c r="A83" s="57" t="s">
        <v>632</v>
      </c>
      <c r="B83" s="57" t="s">
        <v>1038</v>
      </c>
      <c r="C83" s="57" t="s">
        <v>1039</v>
      </c>
    </row>
    <row r="84">
      <c r="A84" s="56" t="s">
        <v>632</v>
      </c>
      <c r="B84" s="56" t="s">
        <v>1040</v>
      </c>
      <c r="C84" s="56" t="s">
        <v>1041</v>
      </c>
    </row>
    <row r="85">
      <c r="A85" s="57" t="s">
        <v>632</v>
      </c>
      <c r="B85" s="57" t="s">
        <v>1042</v>
      </c>
      <c r="C85" s="57" t="s">
        <v>1043</v>
      </c>
    </row>
    <row r="86">
      <c r="A86" s="56" t="s">
        <v>632</v>
      </c>
      <c r="B86" s="56" t="s">
        <v>1044</v>
      </c>
      <c r="C86" s="56" t="s">
        <v>1045</v>
      </c>
    </row>
    <row r="87">
      <c r="A87" s="57" t="s">
        <v>632</v>
      </c>
      <c r="B87" s="57" t="s">
        <v>1046</v>
      </c>
      <c r="C87" s="57" t="s">
        <v>1047</v>
      </c>
    </row>
    <row r="88">
      <c r="A88" s="56" t="s">
        <v>1048</v>
      </c>
      <c r="B88" s="56" t="s">
        <v>1044</v>
      </c>
      <c r="C88" s="56" t="s">
        <v>1045</v>
      </c>
    </row>
    <row r="89">
      <c r="A89" s="57" t="s">
        <v>1048</v>
      </c>
      <c r="B89" s="57" t="s">
        <v>1046</v>
      </c>
      <c r="C89" s="57" t="s">
        <v>1047</v>
      </c>
    </row>
    <row r="90">
      <c r="A90" s="56" t="s">
        <v>1048</v>
      </c>
      <c r="B90" s="56" t="s">
        <v>1049</v>
      </c>
      <c r="C90" s="56" t="s">
        <v>1050</v>
      </c>
    </row>
    <row r="91">
      <c r="A91" s="57" t="s">
        <v>1048</v>
      </c>
      <c r="B91" s="57" t="s">
        <v>1051</v>
      </c>
      <c r="C91" s="57" t="s">
        <v>1052</v>
      </c>
    </row>
    <row r="92">
      <c r="A92" s="56" t="s">
        <v>1053</v>
      </c>
      <c r="B92" s="56" t="s">
        <v>1022</v>
      </c>
      <c r="C92" s="56" t="s">
        <v>1023</v>
      </c>
    </row>
    <row r="93">
      <c r="A93" s="57" t="s">
        <v>1053</v>
      </c>
      <c r="B93" s="57" t="s">
        <v>973</v>
      </c>
      <c r="C93" s="57" t="s">
        <v>974</v>
      </c>
    </row>
    <row r="94">
      <c r="A94" s="56" t="s">
        <v>1053</v>
      </c>
      <c r="B94" s="56" t="s">
        <v>1024</v>
      </c>
      <c r="C94" s="56" t="s">
        <v>782</v>
      </c>
    </row>
    <row r="95">
      <c r="A95" s="57" t="s">
        <v>1053</v>
      </c>
      <c r="B95" s="57" t="s">
        <v>1025</v>
      </c>
      <c r="C95" s="57" t="s">
        <v>776</v>
      </c>
    </row>
    <row r="96">
      <c r="A96" s="56" t="s">
        <v>1053</v>
      </c>
      <c r="B96" s="56" t="s">
        <v>1048</v>
      </c>
      <c r="C96" s="56" t="s">
        <v>1054</v>
      </c>
    </row>
    <row r="97">
      <c r="A97" s="57" t="s">
        <v>1053</v>
      </c>
      <c r="B97" s="57" t="s">
        <v>898</v>
      </c>
      <c r="C97" s="57" t="s">
        <v>1055</v>
      </c>
    </row>
    <row r="98">
      <c r="A98" s="56" t="s">
        <v>1056</v>
      </c>
      <c r="B98" s="56" t="s">
        <v>1057</v>
      </c>
      <c r="C98" s="56" t="s">
        <v>1058</v>
      </c>
    </row>
    <row r="99">
      <c r="A99" s="57" t="s">
        <v>1056</v>
      </c>
      <c r="B99" s="57" t="s">
        <v>1059</v>
      </c>
      <c r="C99" s="57" t="s">
        <v>1060</v>
      </c>
    </row>
    <row r="100">
      <c r="A100" s="56" t="s">
        <v>1056</v>
      </c>
      <c r="B100" s="56" t="s">
        <v>1061</v>
      </c>
      <c r="C100" s="56" t="s">
        <v>1062</v>
      </c>
    </row>
    <row r="101">
      <c r="A101" s="57" t="s">
        <v>1056</v>
      </c>
      <c r="B101" s="57" t="s">
        <v>1063</v>
      </c>
      <c r="C101" s="57" t="s">
        <v>1064</v>
      </c>
    </row>
    <row r="102">
      <c r="A102" s="56" t="s">
        <v>1056</v>
      </c>
      <c r="B102" s="56" t="s">
        <v>1065</v>
      </c>
      <c r="C102" s="56" t="s">
        <v>1066</v>
      </c>
    </row>
    <row r="103">
      <c r="A103" s="57" t="s">
        <v>745</v>
      </c>
      <c r="B103" s="57" t="s">
        <v>1022</v>
      </c>
      <c r="C103" s="57" t="s">
        <v>1023</v>
      </c>
    </row>
    <row r="104">
      <c r="A104" s="56" t="s">
        <v>745</v>
      </c>
      <c r="B104" s="56" t="s">
        <v>1020</v>
      </c>
      <c r="C104" s="56" t="s">
        <v>1021</v>
      </c>
    </row>
    <row r="105">
      <c r="A105" s="57" t="s">
        <v>745</v>
      </c>
      <c r="B105" s="57" t="s">
        <v>1067</v>
      </c>
      <c r="C105" s="57" t="s">
        <v>1068</v>
      </c>
    </row>
    <row r="106">
      <c r="A106" s="56" t="s">
        <v>745</v>
      </c>
      <c r="B106" s="56" t="s">
        <v>1024</v>
      </c>
      <c r="C106" s="56" t="s">
        <v>782</v>
      </c>
    </row>
    <row r="107">
      <c r="A107" s="57" t="s">
        <v>745</v>
      </c>
      <c r="B107" s="57" t="s">
        <v>1025</v>
      </c>
      <c r="C107" s="57" t="s">
        <v>776</v>
      </c>
    </row>
    <row r="108">
      <c r="A108" s="56" t="s">
        <v>745</v>
      </c>
      <c r="B108" s="56" t="s">
        <v>1069</v>
      </c>
      <c r="C108" s="56" t="s">
        <v>1070</v>
      </c>
    </row>
    <row r="109">
      <c r="A109" s="57" t="s">
        <v>745</v>
      </c>
      <c r="B109" s="57" t="s">
        <v>1071</v>
      </c>
      <c r="C109" s="57" t="s">
        <v>1072</v>
      </c>
    </row>
    <row r="110">
      <c r="A110" s="56" t="s">
        <v>67</v>
      </c>
      <c r="B110" s="56" t="s">
        <v>1073</v>
      </c>
      <c r="C110" s="56" t="s">
        <v>1074</v>
      </c>
    </row>
    <row r="111">
      <c r="A111" s="57" t="s">
        <v>67</v>
      </c>
      <c r="B111" s="57" t="s">
        <v>1075</v>
      </c>
      <c r="C111" s="57" t="s">
        <v>1076</v>
      </c>
    </row>
    <row r="112">
      <c r="A112" s="56" t="s">
        <v>85</v>
      </c>
      <c r="B112" s="56" t="s">
        <v>1077</v>
      </c>
      <c r="C112" s="56" t="s">
        <v>1078</v>
      </c>
    </row>
    <row r="113">
      <c r="A113" s="57" t="s">
        <v>85</v>
      </c>
      <c r="B113" s="57" t="s">
        <v>1079</v>
      </c>
      <c r="C113" s="57" t="s">
        <v>1080</v>
      </c>
    </row>
    <row r="114">
      <c r="A114" s="56" t="s">
        <v>85</v>
      </c>
      <c r="B114" s="56" t="s">
        <v>1081</v>
      </c>
      <c r="C114" s="56" t="s">
        <v>1082</v>
      </c>
    </row>
    <row r="115">
      <c r="A115" s="57" t="s">
        <v>85</v>
      </c>
      <c r="B115" s="57" t="s">
        <v>1083</v>
      </c>
      <c r="C115" s="57" t="s">
        <v>1084</v>
      </c>
    </row>
    <row r="116">
      <c r="A116" s="56" t="s">
        <v>79</v>
      </c>
      <c r="B116" s="56" t="s">
        <v>1085</v>
      </c>
      <c r="C116" s="56" t="s">
        <v>1086</v>
      </c>
    </row>
    <row r="117">
      <c r="A117" s="57" t="s">
        <v>79</v>
      </c>
      <c r="B117" s="57" t="s">
        <v>1087</v>
      </c>
      <c r="C117" s="57" t="s">
        <v>1088</v>
      </c>
    </row>
    <row r="118">
      <c r="A118" s="56" t="s">
        <v>79</v>
      </c>
      <c r="B118" s="56" t="s">
        <v>1089</v>
      </c>
      <c r="C118" s="56" t="s">
        <v>1090</v>
      </c>
    </row>
    <row r="119">
      <c r="A119" s="57" t="s">
        <v>79</v>
      </c>
      <c r="B119" s="57" t="s">
        <v>1091</v>
      </c>
      <c r="C119" s="57" t="s">
        <v>1092</v>
      </c>
    </row>
    <row r="120">
      <c r="A120" s="56" t="s">
        <v>73</v>
      </c>
      <c r="B120" s="56" t="s">
        <v>1093</v>
      </c>
      <c r="C120" s="56" t="s">
        <v>1094</v>
      </c>
    </row>
    <row r="121">
      <c r="A121" s="57" t="s">
        <v>73</v>
      </c>
      <c r="B121" s="57" t="s">
        <v>1095</v>
      </c>
      <c r="C121" s="57" t="s">
        <v>1096</v>
      </c>
    </row>
    <row r="122">
      <c r="A122" s="56" t="s">
        <v>73</v>
      </c>
      <c r="B122" s="56" t="s">
        <v>1097</v>
      </c>
      <c r="C122" s="56" t="s">
        <v>1080</v>
      </c>
    </row>
    <row r="123">
      <c r="A123" s="57" t="s">
        <v>73</v>
      </c>
      <c r="B123" s="57" t="s">
        <v>1098</v>
      </c>
      <c r="C123" s="57" t="s">
        <v>1099</v>
      </c>
    </row>
    <row r="124">
      <c r="A124" s="56" t="s">
        <v>73</v>
      </c>
      <c r="B124" s="56" t="s">
        <v>1100</v>
      </c>
      <c r="C124" s="56" t="s">
        <v>1101</v>
      </c>
    </row>
  </sheetData>
  <autoFilter ref="A1:C124"/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&amp;L&amp;C&amp;RVersión: 2025-11-06</oddHeader>
    <oddFooter>&amp;L2025-11-06 18:54&amp;C&amp;P de &amp;N&amp;RACNUR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20.71" hidden="0" customWidth="1"/>
  </cols>
  <sheetData>
    <row r="1">
      <c r="A1" s="1" t="s">
        <v>1102</v>
      </c>
      <c r="B1" s="1" t="s">
        <v>1103</v>
      </c>
    </row>
    <row r="2">
      <c r="A2" s="58" t="s">
        <v>1104</v>
      </c>
      <c r="B2" s="58" t="s">
        <v>1105</v>
      </c>
    </row>
    <row r="3">
      <c r="A3" s="58" t="s">
        <v>1106</v>
      </c>
      <c r="B3" s="58" t="s">
        <v>1107</v>
      </c>
    </row>
    <row r="4">
      <c r="A4" s="58" t="s">
        <v>1108</v>
      </c>
      <c r="B4" s="58" t="s">
        <v>1109</v>
      </c>
    </row>
    <row r="5">
      <c r="A5" s="58" t="s">
        <v>1110</v>
      </c>
      <c r="B5" s="58" t="s">
        <v>1111</v>
      </c>
    </row>
    <row r="6">
      <c r="A6" s="58" t="s">
        <v>1112</v>
      </c>
      <c r="B6" s="58" t="s">
        <v>1113</v>
      </c>
    </row>
    <row r="7">
      <c r="A7" s="58" t="s">
        <v>1114</v>
      </c>
      <c r="B7" s="60" t="str">
        <f>=HYPERLINK("#'Plan'!A1","Ir a Plan")</f>
      </c>
    </row>
    <row r="8">
      <c r="A8" s="58" t="s">
        <v>1116</v>
      </c>
      <c r="B8" s="60" t="str">
        <f>=HYPERLINK("#'Resumen'!A1","Ir a Resumen")</f>
      </c>
    </row>
    <row r="9">
      <c r="A9" s="58" t="s">
        <v>1118</v>
      </c>
      <c r="B9" s="60" t="str">
        <f>=HYPERLINK("#'Secciones'!A1","Ir a Secciones")</f>
      </c>
    </row>
    <row r="10">
      <c r="A10" s="58" t="s">
        <v>1120</v>
      </c>
      <c r="B10" s="60" t="str">
        <f>=HYPERLINK("#'Diccionario'!A1","Ir a Diccionario")</f>
      </c>
    </row>
    <row r="11">
      <c r="B11" s="61" t="str">
        <f>=HYPERLINK("#'Choices'!A1","Ir a Choices")</f>
      </c>
    </row>
  </sheetData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&amp;L&amp;C&amp;RVersión: 2025-11-06</oddHeader>
    <oddFooter>&amp;L2025-11-06 18:54&amp;C&amp;P de &amp;N&amp;RACNUR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8.71" hidden="0" customWidth="1"/>
    <col min="3" max="3" width="16.71" hidden="0" customWidth="1"/>
  </cols>
  <sheetData>
    <row r="1">
      <c r="A1" s="1" t="s">
        <v>1102</v>
      </c>
      <c r="B1" s="1" t="s">
        <v>3</v>
      </c>
      <c r="C1" s="1" t="s">
        <v>1122</v>
      </c>
    </row>
    <row r="2">
      <c r="A2" t="s">
        <v>771</v>
      </c>
      <c r="B2" t="s">
        <v>31</v>
      </c>
      <c r="C2" s="62" t="s">
        <v>1123</v>
      </c>
    </row>
    <row r="3">
      <c r="A3" t="s">
        <v>771</v>
      </c>
      <c r="B3" t="s">
        <v>23</v>
      </c>
      <c r="C3" s="63" t="s">
        <v>1124</v>
      </c>
    </row>
    <row r="4">
      <c r="A4" t="s">
        <v>771</v>
      </c>
      <c r="B4" t="s">
        <v>118</v>
      </c>
      <c r="C4" s="64" t="s">
        <v>1125</v>
      </c>
    </row>
    <row r="5">
      <c r="A5" t="s">
        <v>771</v>
      </c>
      <c r="B5" t="s">
        <v>1126</v>
      </c>
      <c r="C5" s="65" t="s">
        <v>1127</v>
      </c>
    </row>
    <row r="6">
      <c r="A6" t="s">
        <v>771</v>
      </c>
      <c r="B6" t="s">
        <v>1128</v>
      </c>
      <c r="C6" s="62" t="s">
        <v>1123</v>
      </c>
    </row>
    <row r="7">
      <c r="A7" t="s">
        <v>771</v>
      </c>
      <c r="B7" t="s">
        <v>1129</v>
      </c>
      <c r="C7" s="63" t="s">
        <v>1124</v>
      </c>
    </row>
    <row r="8">
      <c r="A8" t="s">
        <v>773</v>
      </c>
      <c r="B8" t="s">
        <v>31</v>
      </c>
      <c r="C8" s="66" t="s">
        <v>1130</v>
      </c>
    </row>
    <row r="9">
      <c r="A9" t="s">
        <v>773</v>
      </c>
      <c r="B9" t="s">
        <v>23</v>
      </c>
      <c r="C9" s="67" t="s">
        <v>1131</v>
      </c>
    </row>
    <row r="10">
      <c r="A10" t="s">
        <v>773</v>
      </c>
      <c r="B10" t="s">
        <v>118</v>
      </c>
      <c r="C10" s="68" t="s">
        <v>1132</v>
      </c>
    </row>
    <row r="11">
      <c r="A11" t="s">
        <v>773</v>
      </c>
      <c r="B11" t="s">
        <v>1126</v>
      </c>
      <c r="C11" s="69" t="s">
        <v>1133</v>
      </c>
    </row>
    <row r="12">
      <c r="A12" t="s">
        <v>773</v>
      </c>
      <c r="B12" t="s">
        <v>1128</v>
      </c>
      <c r="C12" s="66" t="s">
        <v>1130</v>
      </c>
    </row>
    <row r="13">
      <c r="A13" t="s">
        <v>773</v>
      </c>
      <c r="B13" t="s">
        <v>1129</v>
      </c>
      <c r="C13" s="67" t="s">
        <v>1131</v>
      </c>
    </row>
    <row r="14">
      <c r="A14" t="s">
        <v>775</v>
      </c>
      <c r="B14" t="s">
        <v>31</v>
      </c>
      <c r="C14" s="70" t="s">
        <v>1134</v>
      </c>
    </row>
    <row r="15">
      <c r="A15" t="s">
        <v>775</v>
      </c>
      <c r="B15" t="s">
        <v>23</v>
      </c>
      <c r="C15" s="71" t="s">
        <v>1135</v>
      </c>
    </row>
    <row r="16">
      <c r="A16" t="s">
        <v>775</v>
      </c>
      <c r="B16" t="s">
        <v>118</v>
      </c>
      <c r="C16" s="72" t="s">
        <v>1136</v>
      </c>
    </row>
    <row r="17">
      <c r="A17" t="s">
        <v>775</v>
      </c>
      <c r="B17" t="s">
        <v>1126</v>
      </c>
      <c r="C17" s="73" t="s">
        <v>1137</v>
      </c>
    </row>
    <row r="18">
      <c r="A18" t="s">
        <v>775</v>
      </c>
      <c r="B18" t="s">
        <v>1128</v>
      </c>
      <c r="C18" s="70" t="s">
        <v>1134</v>
      </c>
    </row>
    <row r="19">
      <c r="A19" t="s">
        <v>775</v>
      </c>
      <c r="B19" t="s">
        <v>1129</v>
      </c>
      <c r="C19" s="71" t="s">
        <v>1135</v>
      </c>
    </row>
    <row r="20">
      <c r="A20" t="s">
        <v>777</v>
      </c>
      <c r="B20" t="s">
        <v>31</v>
      </c>
      <c r="C20" s="74" t="s">
        <v>1138</v>
      </c>
    </row>
    <row r="21">
      <c r="A21" t="s">
        <v>777</v>
      </c>
      <c r="B21" t="s">
        <v>23</v>
      </c>
      <c r="C21" s="75" t="s">
        <v>1139</v>
      </c>
    </row>
    <row r="22">
      <c r="A22" t="s">
        <v>777</v>
      </c>
      <c r="B22" t="s">
        <v>118</v>
      </c>
      <c r="C22" s="76" t="s">
        <v>1140</v>
      </c>
    </row>
    <row r="23">
      <c r="A23" t="s">
        <v>777</v>
      </c>
      <c r="B23" t="s">
        <v>1126</v>
      </c>
      <c r="C23" s="77" t="s">
        <v>1141</v>
      </c>
    </row>
    <row r="24">
      <c r="A24" t="s">
        <v>777</v>
      </c>
      <c r="B24" t="s">
        <v>1128</v>
      </c>
      <c r="C24" s="74" t="s">
        <v>1138</v>
      </c>
    </row>
    <row r="25">
      <c r="A25" t="s">
        <v>777</v>
      </c>
      <c r="B25" t="s">
        <v>1129</v>
      </c>
      <c r="C25" s="75" t="s">
        <v>1139</v>
      </c>
    </row>
    <row r="26">
      <c r="A26" t="s">
        <v>779</v>
      </c>
      <c r="B26" t="s">
        <v>31</v>
      </c>
      <c r="C26" s="78" t="s">
        <v>1142</v>
      </c>
    </row>
    <row r="27">
      <c r="A27" t="s">
        <v>779</v>
      </c>
      <c r="B27" t="s">
        <v>23</v>
      </c>
      <c r="C27" s="79" t="s">
        <v>1143</v>
      </c>
    </row>
    <row r="28">
      <c r="A28" t="s">
        <v>779</v>
      </c>
      <c r="B28" t="s">
        <v>118</v>
      </c>
      <c r="C28" s="80" t="s">
        <v>1144</v>
      </c>
    </row>
    <row r="29">
      <c r="A29" t="s">
        <v>779</v>
      </c>
      <c r="B29" t="s">
        <v>1126</v>
      </c>
      <c r="C29" s="81" t="s">
        <v>1145</v>
      </c>
    </row>
    <row r="30">
      <c r="A30" t="s">
        <v>779</v>
      </c>
      <c r="B30" t="s">
        <v>1128</v>
      </c>
      <c r="C30" s="78" t="s">
        <v>1142</v>
      </c>
    </row>
    <row r="31">
      <c r="A31" t="s">
        <v>779</v>
      </c>
      <c r="B31" t="s">
        <v>1129</v>
      </c>
      <c r="C31" s="79" t="s">
        <v>1143</v>
      </c>
    </row>
    <row r="32">
      <c r="A32" t="s">
        <v>781</v>
      </c>
      <c r="B32" t="s">
        <v>31</v>
      </c>
      <c r="C32" s="82" t="s">
        <v>1146</v>
      </c>
    </row>
    <row r="33">
      <c r="A33" t="s">
        <v>781</v>
      </c>
      <c r="B33" t="s">
        <v>23</v>
      </c>
      <c r="C33" s="83" t="s">
        <v>1147</v>
      </c>
    </row>
    <row r="34">
      <c r="A34" t="s">
        <v>781</v>
      </c>
      <c r="B34" t="s">
        <v>118</v>
      </c>
      <c r="C34" s="84" t="s">
        <v>1148</v>
      </c>
    </row>
    <row r="35">
      <c r="A35" t="s">
        <v>781</v>
      </c>
      <c r="B35" t="s">
        <v>1126</v>
      </c>
      <c r="C35" s="85" t="s">
        <v>1149</v>
      </c>
    </row>
    <row r="36">
      <c r="A36" t="s">
        <v>781</v>
      </c>
      <c r="B36" t="s">
        <v>1128</v>
      </c>
      <c r="C36" s="82" t="s">
        <v>1146</v>
      </c>
    </row>
    <row r="37">
      <c r="A37" t="s">
        <v>781</v>
      </c>
      <c r="B37" t="s">
        <v>1129</v>
      </c>
      <c r="C37" s="83" t="s">
        <v>1147</v>
      </c>
    </row>
    <row r="38">
      <c r="A38" t="s">
        <v>783</v>
      </c>
      <c r="B38" t="s">
        <v>31</v>
      </c>
      <c r="C38" s="86" t="s">
        <v>1150</v>
      </c>
    </row>
    <row r="39">
      <c r="A39" t="s">
        <v>783</v>
      </c>
      <c r="B39" t="s">
        <v>23</v>
      </c>
      <c r="C39" s="87" t="s">
        <v>1151</v>
      </c>
    </row>
    <row r="40">
      <c r="A40" t="s">
        <v>783</v>
      </c>
      <c r="B40" t="s">
        <v>118</v>
      </c>
      <c r="C40" s="88" t="s">
        <v>1152</v>
      </c>
    </row>
    <row r="41">
      <c r="A41" t="s">
        <v>783</v>
      </c>
      <c r="B41" t="s">
        <v>1126</v>
      </c>
      <c r="C41" s="89" t="s">
        <v>1153</v>
      </c>
    </row>
    <row r="42">
      <c r="A42" t="s">
        <v>783</v>
      </c>
      <c r="B42" t="s">
        <v>1128</v>
      </c>
      <c r="C42" s="86" t="s">
        <v>1150</v>
      </c>
    </row>
    <row r="43">
      <c r="A43" t="s">
        <v>783</v>
      </c>
      <c r="B43" t="s">
        <v>1129</v>
      </c>
      <c r="C43" s="87" t="s">
        <v>1151</v>
      </c>
    </row>
    <row r="44">
      <c r="A44" t="s">
        <v>785</v>
      </c>
      <c r="B44" t="s">
        <v>31</v>
      </c>
      <c r="C44" s="62" t="s">
        <v>1123</v>
      </c>
    </row>
    <row r="45">
      <c r="A45" t="s">
        <v>785</v>
      </c>
      <c r="B45" t="s">
        <v>23</v>
      </c>
      <c r="C45" s="63" t="s">
        <v>1124</v>
      </c>
    </row>
    <row r="46">
      <c r="A46" t="s">
        <v>785</v>
      </c>
      <c r="B46" t="s">
        <v>118</v>
      </c>
      <c r="C46" s="64" t="s">
        <v>1125</v>
      </c>
    </row>
    <row r="47">
      <c r="A47" t="s">
        <v>785</v>
      </c>
      <c r="B47" t="s">
        <v>1126</v>
      </c>
      <c r="C47" s="65" t="s">
        <v>1127</v>
      </c>
    </row>
    <row r="48">
      <c r="A48" t="s">
        <v>785</v>
      </c>
      <c r="B48" t="s">
        <v>1128</v>
      </c>
      <c r="C48" s="62" t="s">
        <v>1123</v>
      </c>
    </row>
    <row r="49">
      <c r="A49" t="s">
        <v>785</v>
      </c>
      <c r="B49" t="s">
        <v>1129</v>
      </c>
      <c r="C49" s="63" t="s">
        <v>1124</v>
      </c>
    </row>
    <row r="50">
      <c r="A50" t="s">
        <v>787</v>
      </c>
      <c r="B50" t="s">
        <v>31</v>
      </c>
      <c r="C50" s="66" t="s">
        <v>1130</v>
      </c>
    </row>
    <row r="51">
      <c r="A51" t="s">
        <v>787</v>
      </c>
      <c r="B51" t="s">
        <v>23</v>
      </c>
      <c r="C51" s="67" t="s">
        <v>1131</v>
      </c>
    </row>
    <row r="52">
      <c r="A52" t="s">
        <v>787</v>
      </c>
      <c r="B52" t="s">
        <v>118</v>
      </c>
      <c r="C52" s="68" t="s">
        <v>1132</v>
      </c>
    </row>
    <row r="53">
      <c r="A53" t="s">
        <v>787</v>
      </c>
      <c r="B53" t="s">
        <v>1126</v>
      </c>
      <c r="C53" s="69" t="s">
        <v>1133</v>
      </c>
    </row>
    <row r="54">
      <c r="A54" t="s">
        <v>787</v>
      </c>
      <c r="B54" t="s">
        <v>1128</v>
      </c>
      <c r="C54" s="66" t="s">
        <v>1130</v>
      </c>
    </row>
    <row r="55">
      <c r="A55" t="s">
        <v>787</v>
      </c>
      <c r="B55" t="s">
        <v>1129</v>
      </c>
      <c r="C55" s="67" t="s">
        <v>1131</v>
      </c>
    </row>
    <row r="56">
      <c r="A56" t="s">
        <v>789</v>
      </c>
      <c r="B56" t="s">
        <v>31</v>
      </c>
      <c r="C56" s="70" t="s">
        <v>1134</v>
      </c>
    </row>
    <row r="57">
      <c r="A57" t="s">
        <v>789</v>
      </c>
      <c r="B57" t="s">
        <v>23</v>
      </c>
      <c r="C57" s="71" t="s">
        <v>1135</v>
      </c>
    </row>
    <row r="58">
      <c r="A58" t="s">
        <v>789</v>
      </c>
      <c r="B58" t="s">
        <v>118</v>
      </c>
      <c r="C58" s="72" t="s">
        <v>1136</v>
      </c>
    </row>
    <row r="59">
      <c r="A59" t="s">
        <v>789</v>
      </c>
      <c r="B59" t="s">
        <v>1126</v>
      </c>
      <c r="C59" s="73" t="s">
        <v>1137</v>
      </c>
    </row>
    <row r="60">
      <c r="A60" t="s">
        <v>789</v>
      </c>
      <c r="B60" t="s">
        <v>1128</v>
      </c>
      <c r="C60" s="70" t="s">
        <v>1134</v>
      </c>
    </row>
    <row r="61">
      <c r="A61" t="s">
        <v>789</v>
      </c>
      <c r="B61" t="s">
        <v>1129</v>
      </c>
      <c r="C61" s="71" t="s">
        <v>1135</v>
      </c>
    </row>
  </sheetData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&amp;L&amp;BPlan de Limpieza – ACNUR&amp;B&amp;C&amp;RVersión: 2025-11-06</oddHeader>
    <oddFooter>&amp;L2025-11-06 18:54&amp;C&amp;P de &amp;N&amp;RACNUR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acnur-cleaning</dc:creator>
  <cp:lastModifiedBy>acnur-cleaning</cp:lastModifiedBy>
  <dcterms:created xsi:type="dcterms:W3CDTF">2025-11-06T23:54:21Z</dcterms:created>
</coreProperties>
</file>